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ilaa\OneDrive\Desktop\"/>
    </mc:Choice>
  </mc:AlternateContent>
  <xr:revisionPtr revIDLastSave="0" documentId="8_{0C83E156-8D04-484B-990F-E65B57D677DD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Raw_Data" sheetId="1" r:id="rId1"/>
    <sheet name="Clean_Data" sheetId="2" r:id="rId2"/>
    <sheet name="Processed_Data" sheetId="3" r:id="rId3"/>
    <sheet name="Summary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" i="2" l="1"/>
  <c r="D4" i="2"/>
  <c r="D2" i="2"/>
  <c r="C6" i="4"/>
  <c r="D6" i="4"/>
  <c r="E6" i="4"/>
  <c r="B61" i="4"/>
  <c r="B62" i="4"/>
  <c r="B63" i="4"/>
  <c r="B64" i="4"/>
  <c r="B65" i="4"/>
  <c r="B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B53" i="4"/>
  <c r="B54" i="4"/>
  <c r="B55" i="4"/>
  <c r="B56" i="4"/>
  <c r="E55" i="4"/>
  <c r="D55" i="4"/>
  <c r="C55" i="4"/>
  <c r="E54" i="4"/>
  <c r="D54" i="4"/>
  <c r="C54" i="4"/>
  <c r="E53" i="4"/>
  <c r="D53" i="4"/>
  <c r="C53" i="4"/>
  <c r="B43" i="4"/>
  <c r="B44" i="4"/>
  <c r="B45" i="4"/>
  <c r="B46" i="4"/>
  <c r="B47" i="4"/>
  <c r="B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B14" i="4"/>
  <c r="B15" i="4"/>
  <c r="B16" i="4"/>
  <c r="E15" i="4"/>
  <c r="D15" i="4"/>
  <c r="C15" i="4"/>
  <c r="E14" i="4"/>
  <c r="D14" i="4"/>
  <c r="C14" i="4"/>
  <c r="B6" i="4"/>
  <c r="B7" i="4"/>
  <c r="B8" i="4"/>
  <c r="B9" i="4"/>
  <c r="E8" i="4"/>
  <c r="D8" i="4"/>
  <c r="C8" i="4"/>
  <c r="E7" i="4"/>
  <c r="D7" i="4"/>
  <c r="C7" i="4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96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93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C4" i="2"/>
  <c r="B4" i="2"/>
  <c r="A4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3" i="2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F2" i="2"/>
  <c r="E2" i="2"/>
  <c r="C2" i="2"/>
  <c r="B2" i="2"/>
  <c r="A2" i="2"/>
</calcChain>
</file>

<file path=xl/sharedStrings.xml><?xml version="1.0" encoding="utf-8"?>
<sst xmlns="http://schemas.openxmlformats.org/spreadsheetml/2006/main" count="5483" uniqueCount="679">
  <si>
    <t>Timestamp</t>
  </si>
  <si>
    <t>Respondent</t>
  </si>
  <si>
    <t>Network Provider</t>
  </si>
  <si>
    <t>Region</t>
  </si>
  <si>
    <t>Phone Type</t>
  </si>
  <si>
    <t>Age Range</t>
  </si>
  <si>
    <t>Internet Usage Frequency</t>
  </si>
  <si>
    <t>Main Data Usage</t>
  </si>
  <si>
    <t>Overall Experience</t>
  </si>
  <si>
    <t>Internet Speed (1-5)</t>
  </si>
  <si>
    <t>Connection Reliability</t>
  </si>
  <si>
    <t>Video Buffering Frequency</t>
  </si>
  <si>
    <t>Main Problem</t>
  </si>
  <si>
    <t>Problem Frequency</t>
  </si>
  <si>
    <t>Worst Network Time</t>
  </si>
  <si>
    <t>Problem Location</t>
  </si>
  <si>
    <t>Signal Strength</t>
  </si>
  <si>
    <t>Impact on Daily Activities</t>
  </si>
  <si>
    <t>Would Use App</t>
  </si>
  <si>
    <t>Allow Auto Collection</t>
  </si>
  <si>
    <t>Feedback Frequency</t>
  </si>
  <si>
    <t>Comfortable Sharing Location</t>
  </si>
  <si>
    <t>App Concerns</t>
  </si>
  <si>
    <t>2026/04/23 10:31:16 PM GMT+1</t>
  </si>
  <si>
    <t>User_1</t>
  </si>
  <si>
    <t>Orange</t>
  </si>
  <si>
    <t>Southwest Region</t>
  </si>
  <si>
    <t>Android</t>
  </si>
  <si>
    <t>20-25</t>
  </si>
  <si>
    <t>Browsing / Navigation</t>
  </si>
  <si>
    <t>Poor / Mauvaise</t>
  </si>
  <si>
    <t>Poor / Instable</t>
  </si>
  <si>
    <t>Often / Souvent</t>
  </si>
  <si>
    <t>Slow internet / Internet lent</t>
  </si>
  <si>
    <t>Night / Nuit</t>
  </si>
  <si>
    <t>Everywhere / Partout</t>
  </si>
  <si>
    <t>Weak / Faible</t>
  </si>
  <si>
    <t>Severely / Beaucoup</t>
  </si>
  <si>
    <t>Yes / Oui</t>
  </si>
  <si>
    <t>Once a day / Une fois par jour</t>
  </si>
  <si>
    <t>2026/04/23 10:54:23 PM GMT+1</t>
  </si>
  <si>
    <t>User_2</t>
  </si>
  <si>
    <t>MTN</t>
  </si>
  <si>
    <t>Moderate / Moyen</t>
  </si>
  <si>
    <t>No / Non</t>
  </si>
  <si>
    <t>Never / Jamais</t>
  </si>
  <si>
    <t>2026/04/23 11:07:04 PM GMT+1</t>
  </si>
  <si>
    <t>User_3</t>
  </si>
  <si>
    <t>MTN;Orange</t>
  </si>
  <si>
    <t>North West Region</t>
  </si>
  <si>
    <t>iPhone</t>
  </si>
  <si>
    <t>Average / Moyenne</t>
  </si>
  <si>
    <t>Sometimes / Parfois</t>
  </si>
  <si>
    <t>Moderately / Moyennement</t>
  </si>
  <si>
    <t>2026/04/23 11:18:50 PM GMT+1</t>
  </si>
  <si>
    <t>User_4</t>
  </si>
  <si>
    <t>Poor / Mauvaise;Average / Moyenne</t>
  </si>
  <si>
    <t>Evening / Soir</t>
  </si>
  <si>
    <t>2026/04/23 11:25:07 PM GMT+1</t>
  </si>
  <si>
    <t>User_5</t>
  </si>
  <si>
    <t>MTN;Orange;Camtel</t>
  </si>
  <si>
    <t>Android;iPhone</t>
  </si>
  <si>
    <t>25 and above</t>
  </si>
  <si>
    <t>2026/04/23 11:25:43 PM GMT+1</t>
  </si>
  <si>
    <t>User_6</t>
  </si>
  <si>
    <t>Center Regional</t>
  </si>
  <si>
    <t>15-20</t>
  </si>
  <si>
    <t>Always / Toujours</t>
  </si>
  <si>
    <t>Strong / Fort</t>
  </si>
  <si>
    <t>2026/04/23 11:26:31 PM GMT+1</t>
  </si>
  <si>
    <t>User_7</t>
  </si>
  <si>
    <t>Messaging / Messagerie (WhatsApp, etc.);Browsing / Navigation</t>
  </si>
  <si>
    <t>2026/04/23 11:34:00 PM GMT+1</t>
  </si>
  <si>
    <t>User_8</t>
  </si>
  <si>
    <t>2026/04/24 12:49:27 AM GMT+1</t>
  </si>
  <si>
    <t>User_9</t>
  </si>
  <si>
    <t>North Region</t>
  </si>
  <si>
    <t>None / Aucune</t>
  </si>
  <si>
    <t>2026/04/24 12:54:34 AM GMT+1</t>
  </si>
  <si>
    <t>User_10</t>
  </si>
  <si>
    <t>Classified</t>
  </si>
  <si>
    <t>Good / Bonne</t>
  </si>
  <si>
    <t>Good / Stable</t>
  </si>
  <si>
    <t>2026/04/24 1:01:49 AM GMT+1</t>
  </si>
  <si>
    <t>User_11</t>
  </si>
  <si>
    <t>2026/04/24 1:44:54 AM GMT+1</t>
  </si>
  <si>
    <t>User_12</t>
  </si>
  <si>
    <t>2026/04/24 2:09:25 AM GMT+1</t>
  </si>
  <si>
    <t>User_13</t>
  </si>
  <si>
    <t>Messaging / Messagerie (WhatsApp, etc.);Online classes/work / Cours ou travail en ligne</t>
  </si>
  <si>
    <t>2026/04/24 3:27:12 AM GMT+1</t>
  </si>
  <si>
    <t>User_14</t>
  </si>
  <si>
    <t>2026/04/24 4:44:48 AM GMT+1</t>
  </si>
  <si>
    <t>User_15</t>
  </si>
  <si>
    <t>2026/04/24 5:52:19 AM GMT+1</t>
  </si>
  <si>
    <t>User_16</t>
  </si>
  <si>
    <t>2026/04/24 6:06:04 AM GMT+1</t>
  </si>
  <si>
    <t>User_17</t>
  </si>
  <si>
    <t>2026/04/24 6:09:53 AM GMT+1</t>
  </si>
  <si>
    <t>User_18</t>
  </si>
  <si>
    <t>West Region</t>
  </si>
  <si>
    <t>Slightly / Un peu</t>
  </si>
  <si>
    <t>2026/04/24 6:36:55 AM GMT+1</t>
  </si>
  <si>
    <t>User_19</t>
  </si>
  <si>
    <t>2026/04/24 6:40:40 AM GMT+1</t>
  </si>
  <si>
    <t>User_20</t>
  </si>
  <si>
    <t>MTN;Camtel</t>
  </si>
  <si>
    <t>2026/04/24 6:45:11 AM GMT+1</t>
  </si>
  <si>
    <t>User_21</t>
  </si>
  <si>
    <t>South Region</t>
  </si>
  <si>
    <t>Poor / Instable;Average / Moyenne</t>
  </si>
  <si>
    <t>2026/04/24 6:59:02 AM GMT+1</t>
  </si>
  <si>
    <t>User_22</t>
  </si>
  <si>
    <t>2026/04/24 7:31:31 AM GMT+1</t>
  </si>
  <si>
    <t>User_23</t>
  </si>
  <si>
    <t>2026/04/24 8:02:52 AM GMT+1</t>
  </si>
  <si>
    <t>User_24</t>
  </si>
  <si>
    <t>2026/04/24 8:17:46 AM GMT+1</t>
  </si>
  <si>
    <t>User_25</t>
  </si>
  <si>
    <t>2026/04/24 8:18:49 AM GMT+1</t>
  </si>
  <si>
    <t>User_26</t>
  </si>
  <si>
    <t xml:space="preserve">Developing / Developer </t>
  </si>
  <si>
    <t>2026/04/24 8:25:11 AM GMT+1</t>
  </si>
  <si>
    <t>User_27</t>
  </si>
  <si>
    <t>2026/04/24 8:33:12 AM GMT+1</t>
  </si>
  <si>
    <t>User_28</t>
  </si>
  <si>
    <t>East Region</t>
  </si>
  <si>
    <t>Messaging / Messagerie (WhatsApp, etc.)</t>
  </si>
  <si>
    <t>2026/04/24 8:34:08 AM GMT+1</t>
  </si>
  <si>
    <t>User_29</t>
  </si>
  <si>
    <t>2026/04/24 8:39:53 AM GMT+1</t>
  </si>
  <si>
    <t>User_30</t>
  </si>
  <si>
    <t>2026/04/24 8:40:55 AM GMT+1</t>
  </si>
  <si>
    <t>User_31</t>
  </si>
  <si>
    <t>Littoral Region</t>
  </si>
  <si>
    <t>Call drops / Coupures d'appel</t>
  </si>
  <si>
    <t>2026/04/24 8:45:05 AM GMT+1</t>
  </si>
  <si>
    <t>User_32</t>
  </si>
  <si>
    <t>Online classes/work / Cours ou travail en ligne</t>
  </si>
  <si>
    <t>2026/04/24 8:55:12 AM GMT+1</t>
  </si>
  <si>
    <t>User_33</t>
  </si>
  <si>
    <t>Morning / Matin</t>
  </si>
  <si>
    <t>2026/04/24 8:55:58 AM GMT+1</t>
  </si>
  <si>
    <t>User_34</t>
  </si>
  <si>
    <t>2026/04/24 8:59:45 AM GMT+1</t>
  </si>
  <si>
    <t>User_35</t>
  </si>
  <si>
    <t>Often / Souvent;Sometimes / Parfois</t>
  </si>
  <si>
    <t>2026/04/24 9:07:13 AM GMT+1</t>
  </si>
  <si>
    <t>User_36</t>
  </si>
  <si>
    <t>2026/04/24 9:10:55 AM GMT+1</t>
  </si>
  <si>
    <t>User_37</t>
  </si>
  <si>
    <t>2026/04/24 9:15:06 AM GMT+1</t>
  </si>
  <si>
    <t>User_38</t>
  </si>
  <si>
    <t>Rarely / Rarement</t>
  </si>
  <si>
    <t>2026/04/24 9:15:18 AM GMT+1</t>
  </si>
  <si>
    <t>User_39</t>
  </si>
  <si>
    <t>2026/04/24 9:18:52 AM GMT+1</t>
  </si>
  <si>
    <t>User_40</t>
  </si>
  <si>
    <t>2026/04/24 9:20:27 AM GMT+1</t>
  </si>
  <si>
    <t>User_41</t>
  </si>
  <si>
    <t>2026/04/24 9:23:00 AM GMT+1</t>
  </si>
  <si>
    <t>User_42</t>
  </si>
  <si>
    <t>2026/04/24 9:31:00 AM GMT+1</t>
  </si>
  <si>
    <t>User_43</t>
  </si>
  <si>
    <t>Not at all / Pas du tout</t>
  </si>
  <si>
    <t>Battery usage / Batterie</t>
  </si>
  <si>
    <t>2026/04/24 9:32:21 AM GMT+1</t>
  </si>
  <si>
    <t>User_44</t>
  </si>
  <si>
    <t>2026/04/24 9:35:05 AM GMT+1</t>
  </si>
  <si>
    <t>User_45</t>
  </si>
  <si>
    <t>Messaging / Messagerie (WhatsApp, etc.);Online classes/work / Cours ou travail en ligne;Browsing / Navigation</t>
  </si>
  <si>
    <t>2026/04/24 9:38:14 AM GMT+1</t>
  </si>
  <si>
    <t>User_46</t>
  </si>
  <si>
    <t>2026/04/24 9:42:23 AM GMT+1</t>
  </si>
  <si>
    <t>User_47</t>
  </si>
  <si>
    <t>2026/04/24 9:44:05 AM GMT+1</t>
  </si>
  <si>
    <t>User_48</t>
  </si>
  <si>
    <t>Camtel</t>
  </si>
  <si>
    <t>2026/04/24 9:45:55 AM GMT+1</t>
  </si>
  <si>
    <t>User_49</t>
  </si>
  <si>
    <t>2026/04/24 9:50:05 AM GMT+1</t>
  </si>
  <si>
    <t>User_50</t>
  </si>
  <si>
    <t>2026/04/24 9:52:56 AM GMT+1</t>
  </si>
  <si>
    <t>User_51</t>
  </si>
  <si>
    <t>2026/04/24 9:56:40 AM GMT+1</t>
  </si>
  <si>
    <t>User_52</t>
  </si>
  <si>
    <t>2026/04/24 9:59:09 AM GMT+1</t>
  </si>
  <si>
    <t>User_53</t>
  </si>
  <si>
    <t>2026/04/24 10:02:45 AM GMT+1</t>
  </si>
  <si>
    <t>User_54</t>
  </si>
  <si>
    <t>2026/04/24 10:03:03 AM GMT+1</t>
  </si>
  <si>
    <t>User_55</t>
  </si>
  <si>
    <t>Once a week</t>
  </si>
  <si>
    <t>2026/04/24 10:06:22 AM GMT+1</t>
  </si>
  <si>
    <t>User_56</t>
  </si>
  <si>
    <t>2026/04/24 10:08:11 AM GMT+1</t>
  </si>
  <si>
    <t>User_57</t>
  </si>
  <si>
    <t xml:space="preserve">I mostly used wifi and not mobile data, and i used for all online activities </t>
  </si>
  <si>
    <t>2026/04/24 10:08:24 AM GMT+1</t>
  </si>
  <si>
    <t>User_58</t>
  </si>
  <si>
    <t>2026/04/24 10:09:13 AM GMT+1</t>
  </si>
  <si>
    <t>User_59</t>
  </si>
  <si>
    <t>2026/04/24 10:11:51 AM GMT+1</t>
  </si>
  <si>
    <t>User_60</t>
  </si>
  <si>
    <t>2026/04/24 10:18:18 AM GMT+1</t>
  </si>
  <si>
    <t>User_61</t>
  </si>
  <si>
    <t>2026/04/24 10:21:19 AM GMT+1</t>
  </si>
  <si>
    <t>User_62</t>
  </si>
  <si>
    <t>2026/04/24 10:23:56 AM GMT+1</t>
  </si>
  <si>
    <t>User_63</t>
  </si>
  <si>
    <t>2026/04/24 10:29:35 AM GMT+1</t>
  </si>
  <si>
    <t>User_64</t>
  </si>
  <si>
    <t>2026/04/24 10:50:44 AM GMT+1</t>
  </si>
  <si>
    <t>User_65</t>
  </si>
  <si>
    <t>Online classes/work / Cours ou travail en ligne;</t>
  </si>
  <si>
    <t>2026/04/24 10:53:26 AM GMT+1</t>
  </si>
  <si>
    <t>User_66</t>
  </si>
  <si>
    <t>2026/04/24 10:59:37 AM GMT+1</t>
  </si>
  <si>
    <t>User_67</t>
  </si>
  <si>
    <t>2026/04/24 11:02:58 AM GMT+1</t>
  </si>
  <si>
    <t>User_68</t>
  </si>
  <si>
    <t>2026/04/24 11:03:58 AM GMT+1</t>
  </si>
  <si>
    <t>User_69</t>
  </si>
  <si>
    <t>2026/04/24 11:04:40 AM GMT+1</t>
  </si>
  <si>
    <t>User_70</t>
  </si>
  <si>
    <t>Average / Moyenne;Good / Bonne</t>
  </si>
  <si>
    <t>2026/04/24 11:13:07 AM GMT+1</t>
  </si>
  <si>
    <t>User_71</t>
  </si>
  <si>
    <t>2026/04/24 11:13:37 AM GMT+1</t>
  </si>
  <si>
    <t>User_72</t>
  </si>
  <si>
    <t>2026/04/24 11:14:18 AM GMT+1</t>
  </si>
  <si>
    <t>User_73</t>
  </si>
  <si>
    <t>2026/04/24 11:19:22 AM GMT+1</t>
  </si>
  <si>
    <t>User_74</t>
  </si>
  <si>
    <t>2026/04/24 11:23:19 AM GMT+1</t>
  </si>
  <si>
    <t>User_75</t>
  </si>
  <si>
    <t>2026/04/24 11:23:45 AM GMT+1</t>
  </si>
  <si>
    <t>User_76</t>
  </si>
  <si>
    <t>Online classes/work / Cours ou travail en ligne;Browsing / Navigation</t>
  </si>
  <si>
    <t>2026/04/24 11:26:51 AM GMT+1</t>
  </si>
  <si>
    <t>User_77</t>
  </si>
  <si>
    <t>2026/04/24 11:27:58 AM GMT+1</t>
  </si>
  <si>
    <t>User_78</t>
  </si>
  <si>
    <t>2026/04/24 11:30:43 AM GMT+1</t>
  </si>
  <si>
    <t>User_79</t>
  </si>
  <si>
    <t>2026/04/24 11:32:08 AM GMT+1</t>
  </si>
  <si>
    <t>User_80</t>
  </si>
  <si>
    <t>2026/04/24 11:34:23 AM GMT+1</t>
  </si>
  <si>
    <t>User_81</t>
  </si>
  <si>
    <t>2026/04/24 11:41:51 AM GMT+1</t>
  </si>
  <si>
    <t>User_82</t>
  </si>
  <si>
    <t>2026/04/24 11:43:10 AM GMT+1</t>
  </si>
  <si>
    <t>User_83</t>
  </si>
  <si>
    <t>2026/04/24 11:53:29 AM GMT+1</t>
  </si>
  <si>
    <t>User_84</t>
  </si>
  <si>
    <t>2026/04/24 12:05:56 PM GMT+1</t>
  </si>
  <si>
    <t>User_85</t>
  </si>
  <si>
    <t>2026/04/24 12:10:56 PM GMT+1</t>
  </si>
  <si>
    <t>User_86</t>
  </si>
  <si>
    <t>2026/04/24 12:17:28 PM GMT+1</t>
  </si>
  <si>
    <t>User_87</t>
  </si>
  <si>
    <t>2026/04/24 12:24:20 PM GMT+1</t>
  </si>
  <si>
    <t>User_88</t>
  </si>
  <si>
    <t>User_89</t>
  </si>
  <si>
    <t xml:space="preserve">None </t>
  </si>
  <si>
    <t>2026/04/24 12:51:55 PM GMT+1</t>
  </si>
  <si>
    <t>User_90</t>
  </si>
  <si>
    <t>2026/04/24 1:09:37 PM GMT+1</t>
  </si>
  <si>
    <t>User_91</t>
  </si>
  <si>
    <t>2026/04/24 1:19:30 PM GMT+1</t>
  </si>
  <si>
    <t>User_92</t>
  </si>
  <si>
    <t>2026/04/24 1:25:50 PM GMT+1</t>
  </si>
  <si>
    <t>User_93</t>
  </si>
  <si>
    <t>2026/04/24 1:36:12 PM GMT+1</t>
  </si>
  <si>
    <t>User_94</t>
  </si>
  <si>
    <t>2026/04/24 1:38:52 PM GMT+1</t>
  </si>
  <si>
    <t>User_95</t>
  </si>
  <si>
    <t>2026/04/24 1:59:57 PM GMT+1</t>
  </si>
  <si>
    <t>User_96</t>
  </si>
  <si>
    <t>Adamawa Region</t>
  </si>
  <si>
    <t>2026/04/24 2:17:36 PM GMT+1</t>
  </si>
  <si>
    <t>User_97</t>
  </si>
  <si>
    <t>2026/04/24 2:37:34 PM GMT+1</t>
  </si>
  <si>
    <t>User_98</t>
  </si>
  <si>
    <t>2026/04/24 3:01:19 PM GMT+1</t>
  </si>
  <si>
    <t>User_99</t>
  </si>
  <si>
    <t>2026/04/24 3:15:16 PM GMT+1</t>
  </si>
  <si>
    <t>User_100</t>
  </si>
  <si>
    <t>2026/04/24 3:51:38 PM GMT+1</t>
  </si>
  <si>
    <t>User_101</t>
  </si>
  <si>
    <t>2026/04/24 4:07:45 PM GMT+1</t>
  </si>
  <si>
    <t>User_102</t>
  </si>
  <si>
    <t xml:space="preserve">Once a week or a month </t>
  </si>
  <si>
    <t>2026/04/24 4:26:20 PM GMT+1</t>
  </si>
  <si>
    <t>User_103</t>
  </si>
  <si>
    <t>2026/04/24 5:01:21 PM GMT+1</t>
  </si>
  <si>
    <t>User_104</t>
  </si>
  <si>
    <t>2026/04/24 5:45:02 PM GMT+1</t>
  </si>
  <si>
    <t>User_105</t>
  </si>
  <si>
    <t>2026/04/24 7:26:04 PM GMT+1</t>
  </si>
  <si>
    <t>User_106</t>
  </si>
  <si>
    <t>Occasionally / Occasionnellement</t>
  </si>
  <si>
    <t>Studies</t>
  </si>
  <si>
    <t>2026/04/24 7:57:23 PM GMT+1</t>
  </si>
  <si>
    <t>User_107</t>
  </si>
  <si>
    <t>2026/04/24 8:19:35 PM GMT+1</t>
  </si>
  <si>
    <t>User_108</t>
  </si>
  <si>
    <t>Average / Moyenne;Good / Bonne;Excellent</t>
  </si>
  <si>
    <t>2026/04/24 9:07:59 PM GMT+1</t>
  </si>
  <si>
    <t>User_109</t>
  </si>
  <si>
    <t>2026/04/24 11:15:37 PM GMT+1</t>
  </si>
  <si>
    <t>User_110</t>
  </si>
  <si>
    <t>2026/04/25 2:03:12 AM GMT+1</t>
  </si>
  <si>
    <t>User_111</t>
  </si>
  <si>
    <t>2026/04/25 7:43:21 AM GMT+1</t>
  </si>
  <si>
    <t>User_112</t>
  </si>
  <si>
    <t>2026/04/25 11:15:36 AM GMT+1</t>
  </si>
  <si>
    <t>User_113</t>
  </si>
  <si>
    <t>2026/04/25 1:30:48 PM GMT+1</t>
  </si>
  <si>
    <t>User_114</t>
  </si>
  <si>
    <t>2026/04/25 4:16:15 PM GMT+1</t>
  </si>
  <si>
    <t>User_115</t>
  </si>
  <si>
    <t>2026/04/25 4:16:49 PM GMT+1</t>
  </si>
  <si>
    <t>User_116</t>
  </si>
  <si>
    <t>2026/04/25 6:17:06 PM GMT+1</t>
  </si>
  <si>
    <t>User_117</t>
  </si>
  <si>
    <t>After about 3 to 5 times when network returns from network outage while using the app</t>
  </si>
  <si>
    <t>2026/04/25 6:36:28 PM GMT+1</t>
  </si>
  <si>
    <t>User_118</t>
  </si>
  <si>
    <t>2026/04/25 8:33:13 PM GMT+1</t>
  </si>
  <si>
    <t>User_119</t>
  </si>
  <si>
    <t>2026/04/25 9:38:01 PM GMT+1</t>
  </si>
  <si>
    <t>User_120</t>
  </si>
  <si>
    <t>Very often</t>
  </si>
  <si>
    <t>Browsing</t>
  </si>
  <si>
    <t>Poor</t>
  </si>
  <si>
    <t>Often</t>
  </si>
  <si>
    <t>Slow internet</t>
  </si>
  <si>
    <t>Night</t>
  </si>
  <si>
    <t>Everywhere</t>
  </si>
  <si>
    <t>Weak</t>
  </si>
  <si>
    <t>Severely</t>
  </si>
  <si>
    <t>Yes</t>
  </si>
  <si>
    <t>Once a day</t>
  </si>
  <si>
    <t>Battery usage, Data usage, Security</t>
  </si>
  <si>
    <t>Social media</t>
  </si>
  <si>
    <t>Very Poor</t>
  </si>
  <si>
    <t>Moderate</t>
  </si>
  <si>
    <t>No</t>
  </si>
  <si>
    <t>Never</t>
  </si>
  <si>
    <t>Privacy, Battery usage, Security</t>
  </si>
  <si>
    <t>MTN, Orange</t>
  </si>
  <si>
    <t>Social media, Messaging, Online classes/work, Gaming, Browsing</t>
  </si>
  <si>
    <t>Average</t>
  </si>
  <si>
    <t>Sometimes</t>
  </si>
  <si>
    <t>Slow internet, No signal</t>
  </si>
  <si>
    <t>Afternoon</t>
  </si>
  <si>
    <t>Moderately</t>
  </si>
  <si>
    <t>Privacy, Data usage, Security</t>
  </si>
  <si>
    <t>Evening</t>
  </si>
  <si>
    <t>School/Work</t>
  </si>
  <si>
    <t>Only when there is a problem</t>
  </si>
  <si>
    <t>Privacy, Battery usage, Data usage, Security</t>
  </si>
  <si>
    <t>MTN, Orange, Camtel</t>
  </si>
  <si>
    <t>Android, iPhone</t>
  </si>
  <si>
    <t>Social media, Messaging, Browsing, Software development</t>
  </si>
  <si>
    <t>Slow internet, Call drops, No signal, Poor call quality, Network outages</t>
  </si>
  <si>
    <t>Social media, Online classes/work</t>
  </si>
  <si>
    <t>Always</t>
  </si>
  <si>
    <t>Slow internet, No signal, Network outages</t>
  </si>
  <si>
    <t>Strong</t>
  </si>
  <si>
    <t>Privacy, Security</t>
  </si>
  <si>
    <t>Messaging, Browsing</t>
  </si>
  <si>
    <t>Slow internet, Call drops, No signal, Poor call quality</t>
  </si>
  <si>
    <t>Every time</t>
  </si>
  <si>
    <t>Social media, Messaging, Online classes/work, Browsing, Do surveys to help improve network</t>
  </si>
  <si>
    <t>Slow internet, Network outages</t>
  </si>
  <si>
    <t>Privacy</t>
  </si>
  <si>
    <t>Social media, Video streaming, Messaging, Gaming</t>
  </si>
  <si>
    <t>No signal</t>
  </si>
  <si>
    <t>None</t>
  </si>
  <si>
    <t>Good</t>
  </si>
  <si>
    <t>Social media, Messaging</t>
  </si>
  <si>
    <t>Slow internet, No signal, Poor call quality</t>
  </si>
  <si>
    <t>Social media, Messaging, Online classes/work, Browsing</t>
  </si>
  <si>
    <t>Slow internet, Poor call quality, Network outages</t>
  </si>
  <si>
    <t>Messaging, Online classes/work</t>
  </si>
  <si>
    <t>Slow internet, Call drops, No signal</t>
  </si>
  <si>
    <t>School/Work, On the road</t>
  </si>
  <si>
    <t>Social media, Messaging, Online classes/work</t>
  </si>
  <si>
    <t>Security</t>
  </si>
  <si>
    <t>Privacy, Battery usage</t>
  </si>
  <si>
    <t>Privacy, Data usage</t>
  </si>
  <si>
    <t>Slow internet, Call drops, Poor call quality, Network outages</t>
  </si>
  <si>
    <t>Slightly</t>
  </si>
  <si>
    <t>Poor call quality</t>
  </si>
  <si>
    <t>MTN, Camtel</t>
  </si>
  <si>
    <t>Video streaming, Messaging, Browsing</t>
  </si>
  <si>
    <t>Slow internet, Call drops, Poor call quality</t>
  </si>
  <si>
    <t>Social media, Video streaming, Messaging, Online classes/work, Browsing</t>
  </si>
  <si>
    <t>Social media, Video streaming, Messaging, Online classes/work, Gaming, Browsing</t>
  </si>
  <si>
    <t>Very Weak</t>
  </si>
  <si>
    <t>Developing</t>
  </si>
  <si>
    <t>Messaging</t>
  </si>
  <si>
    <t>Data usage</t>
  </si>
  <si>
    <t>Call drops</t>
  </si>
  <si>
    <t>On the road</t>
  </si>
  <si>
    <t>Online classes/work</t>
  </si>
  <si>
    <t>Battery usage, Data usage</t>
  </si>
  <si>
    <t>Social media, Messaging, Online classes/work, Programming</t>
  </si>
  <si>
    <t>Morning</t>
  </si>
  <si>
    <t>Social media, Video streaming, Messaging</t>
  </si>
  <si>
    <t>Slow internet, Poor call quality</t>
  </si>
  <si>
    <t>Slow internet, No signal, Poor call quality, Network outages</t>
  </si>
  <si>
    <t>Social media, Video streaming, Messaging, Online classes/work</t>
  </si>
  <si>
    <t>Rarely</t>
  </si>
  <si>
    <t>School/Work, Everywhere</t>
  </si>
  <si>
    <t>School/Work, On the road, Everywhere</t>
  </si>
  <si>
    <t>Video streaming</t>
  </si>
  <si>
    <t>Not at all</t>
  </si>
  <si>
    <t>Battery usage</t>
  </si>
  <si>
    <t>Social media, Online classes/work, Research and studies</t>
  </si>
  <si>
    <t>Messaging, Online classes/work, Browsing</t>
  </si>
  <si>
    <t>Slow internet, Call drops, No signal, Network outages</t>
  </si>
  <si>
    <t>Social media, Messaging, Browsing</t>
  </si>
  <si>
    <t>Network outages</t>
  </si>
  <si>
    <t>No signal, Poor call quality, Network outages</t>
  </si>
  <si>
    <t>I mostly used wifi and not mobile data, and i used for all online activities</t>
  </si>
  <si>
    <t>Social media, Video streaming, Messaging, Online classes/work, Research</t>
  </si>
  <si>
    <t>Call drops, No signal, Poor call quality</t>
  </si>
  <si>
    <t>Social media, Video streaming, Online classes/work</t>
  </si>
  <si>
    <t>Online classes/work, Browsing</t>
  </si>
  <si>
    <t>Social media, Online classes/work, Browsing</t>
  </si>
  <si>
    <t>Social media, Messaging, Gaming</t>
  </si>
  <si>
    <t>Privacy, Battery usage, Data usage</t>
  </si>
  <si>
    <t>Privacy, Battery usage, Data usage, Security, None</t>
  </si>
  <si>
    <t>Social media, Video streaming, Messaging, Browsing</t>
  </si>
  <si>
    <t>Video streaming, Messaging, Online classes/work, Browsing</t>
  </si>
  <si>
    <t>Social media, Video streaming, Messaging, Online classes/work, Gaming, Browsing, Business</t>
  </si>
  <si>
    <t>Data usage, Security</t>
  </si>
  <si>
    <t>Once a week or a month</t>
  </si>
  <si>
    <t>Occasionally</t>
  </si>
  <si>
    <t>Social media, Gaming</t>
  </si>
  <si>
    <t>Social media, Video streaming, Online classes/work, Gaming, Browsing</t>
  </si>
  <si>
    <t>Multi-Response Frequency Analysis — QoE Survey</t>
  </si>
  <si>
    <t>Method: Since respondents could select more than one answer, percentages are calculated as (count of option) / (total selections) × 100, ensuring results sum to 100%.</t>
  </si>
  <si>
    <t>Option</t>
  </si>
  <si>
    <t>Count</t>
  </si>
  <si>
    <t>Total Selections</t>
  </si>
  <si>
    <t>% of Selections</t>
  </si>
  <si>
    <t>Formula</t>
  </si>
  <si>
    <t>Business</t>
  </si>
  <si>
    <t>Do surveys to help improve network</t>
  </si>
  <si>
    <t>Gaming</t>
  </si>
  <si>
    <t>I mostly used wifi and not mobile data</t>
  </si>
  <si>
    <t>Programming</t>
  </si>
  <si>
    <t>Research</t>
  </si>
  <si>
    <t>Research and studies</t>
  </si>
  <si>
    <t>Software development</t>
  </si>
  <si>
    <t>and i used for all online activities</t>
  </si>
  <si>
    <t>Username</t>
  </si>
  <si>
    <t>Mobile Network Provider / OpÃ©rateur mobile</t>
  </si>
  <si>
    <t>Where do you mostly use mobile data? / OÃ¹ utilisez-vous le plus Internet mobile ?</t>
  </si>
  <si>
    <t>What type of phone do you use? / Quel type de tÃ©lÃ©phone utilisez-vous ?</t>
  </si>
  <si>
    <t xml:space="preserve">Please what is your age range </t>
  </si>
  <si>
    <t>How often do you use mobile internet? / Ã€ quelle frÃ©quence utilisez-vous Internet mobile ?</t>
  </si>
  <si>
    <t>What do you mainly use mobile data for? / Ã€ quoi utilisez-vous principalement Internet mobile ?</t>
  </si>
  <si>
    <t>Overall, how is your mobile network experience? / Globalement, comment est votre expÃ©rience rÃ©seau ?</t>
  </si>
  <si>
    <t>How would you rate your internet speed? / Comment Ã©valuez-vous la vitesse de votre Internet ?</t>
  </si>
  <si>
    <t>How reliable is your connection (few disconnections)? / Votre connexion est-elle stable (peu de coupures) ?</t>
  </si>
  <si>
    <t>How often do videos buffer (pause to load)? / Ã€ quelle frÃ©quence les vidÃ©os se mettent en pause (chargement) ?</t>
  </si>
  <si>
    <t>What problem do you experience most? / Quel problÃ¨me rencontrez-vous le plus ?</t>
  </si>
  <si>
    <t>How often do these problems occur? / Ã€ quelle frÃ©quence ces problÃ¨mes surviennent-ils ?</t>
  </si>
  <si>
    <t>When is the network worst? / Quand le rÃ©seau est-il le plus mauvais ?</t>
  </si>
  <si>
    <t>Where do you experience the most problems? / OÃ¹ rencontrez-vous le plus de problÃ¨mes ?</t>
  </si>
  <si>
    <t>How strong is your signal most of the time? / Quelle est la force du signal la plupart du temps ?</t>
  </si>
  <si>
    <t>How much does poor network affect your daily activities? / Ã€ quel point le mauvais rÃ©seau affecte vos activitÃ©s quotidiennes ?</t>
  </si>
  <si>
    <t>Would you use an app that monitors your network quality? / Utiliseriez-vous une application qui analyse votre rÃ©seau ?</t>
  </si>
  <si>
    <t>Are you willing to allow automatic data collection (network performance)? / Acceptez-vous la collecte automatique des donnÃ©es rÃ©seau ?</t>
  </si>
  <si>
    <t>How often should the app ask for feedback? / Ã€ quelle frÃ©quence lâ€™application doit-elle demander votre avis ?</t>
  </si>
  <si>
    <t>Are you comfortable sharing your location? / ÃŠtes-vous dâ€™accord pour partager votre localisation ?</t>
  </si>
  <si>
    <t xml:space="preserve">What concerns do you have? / Quelles sont vos prÃ©occupations ?
</t>
  </si>
  <si>
    <t>yasiritemwa233@gmail.com</t>
  </si>
  <si>
    <t>Very often / TrÃ¨s souvent</t>
  </si>
  <si>
    <t>Battery usage / Batterie;Data usage / Consommation de donnÃ©es;Security / SÃ©curitÃ©</t>
  </si>
  <si>
    <t>maagboramelia123@gmail.com</t>
  </si>
  <si>
    <t>Social media / RÃ©seaux sociaux</t>
  </si>
  <si>
    <t>Very Poor / TrÃ¨s mauvaise</t>
  </si>
  <si>
    <t>Very Poor / TrÃ¨s instable</t>
  </si>
  <si>
    <t>Privacy / ConfidentialitÃ©;Battery usage / Batterie;Security / SÃ©curitÃ©</t>
  </si>
  <si>
    <t>Privacy / ConfidentialitÃ©</t>
  </si>
  <si>
    <t>yvettecrystal24@gmail.com</t>
  </si>
  <si>
    <t>Social media / RÃ©seaux sociaux;Messaging / Messagerie (WhatsApp, etc.);Online classes/work / Cours ou travail en ligne;Gaming / Jeux;Browsing / Navigation</t>
  </si>
  <si>
    <t>Slow internet / Internet lent;No signal / Pas de rÃ©seau</t>
  </si>
  <si>
    <t>Afternoon / AprÃ¨s-midi</t>
  </si>
  <si>
    <t>Privacy / ConfidentialitÃ©;Data usage / Consommation de donnÃ©es;Security / SÃ©curitÃ©</t>
  </si>
  <si>
    <t>bjuclear@gmail.com</t>
  </si>
  <si>
    <t>School/Work / Ã‰cole/Travail</t>
  </si>
  <si>
    <t>Only when there is a problem / Seulement en cas de problÃ¨me</t>
  </si>
  <si>
    <t>Privacy / ConfidentialitÃ©;Battery usage / Batterie;Data usage / Consommation de donnÃ©es;Security / SÃ©curitÃ©</t>
  </si>
  <si>
    <t>Security / SÃ©curitÃ©</t>
  </si>
  <si>
    <t>fulopila9@gmail.com</t>
  </si>
  <si>
    <t xml:space="preserve">Social media / RÃ©seaux sociaux;Messaging / Messagerie (WhatsApp, etc.);Browsing / Navigation;Software development </t>
  </si>
  <si>
    <t>Slow internet / Internet lent;Call drops / Coupures d'appel;No signal / Pas de rÃ©seau;Poor call quality / Mauvaise qualitÃ© dâ€™appel;Network outages / Pannes rÃ©seau</t>
  </si>
  <si>
    <t>tafopaabigail11@gmail.com</t>
  </si>
  <si>
    <t>Social media / RÃ©seaux sociaux;Online classes/work / Cours ou travail en ligne</t>
  </si>
  <si>
    <t>Slow internet / Internet lent;No signal / Pas de rÃ©seau;Network outages / Pannes rÃ©seau</t>
  </si>
  <si>
    <t>Privacy / ConfidentialitÃ©;Security / SÃ©curitÃ©</t>
  </si>
  <si>
    <t>Data usage / Consommation de donnÃ©es;Security / SÃ©curitÃ©</t>
  </si>
  <si>
    <t>nkengafac.madelene.olive@gmail.com</t>
  </si>
  <si>
    <t>Slow internet / Internet lent;Call drops / Coupures d'appel;No signal / Pas de rÃ©seau;Poor call quality / Mauvaise qualitÃ© dâ€™appel</t>
  </si>
  <si>
    <t>Every time / Ã€ chaque fois</t>
  </si>
  <si>
    <t>emmanugwe31@gmail.com</t>
  </si>
  <si>
    <t xml:space="preserve">Social media / RÃ©seaux sociaux;Messaging / Messagerie (WhatsApp, etc.);Online classes/work / Cours ou travail en ligne;Browsing / Navigation;Do surveys to help improve network </t>
  </si>
  <si>
    <t>Slow internet / Internet lent;Network outages / Pannes rÃ©seau</t>
  </si>
  <si>
    <t>cristianoace224@gmail.com</t>
  </si>
  <si>
    <t>Social media / RÃ©seaux sociaux;Video streaming / VidÃ©o (YouTube, Netflix);Messaging / Messagerie (WhatsApp, etc.);Gaming / Jeux</t>
  </si>
  <si>
    <t>No signal / Pas de rÃ©seau</t>
  </si>
  <si>
    <t>isaiahafese@gmail.com</t>
  </si>
  <si>
    <t>teyimdiane@gmail.com</t>
  </si>
  <si>
    <t>Social media / RÃ©seaux sociaux;Messaging / Messagerie (WhatsApp, etc.)</t>
  </si>
  <si>
    <t>Slow internet / Internet lent;No signal / Pas de rÃ©seau;Poor call quality / Mauvaise qualitÃ© dâ€™appel</t>
  </si>
  <si>
    <t>ndanjongdan@gmail.com</t>
  </si>
  <si>
    <t>Social media / RÃ©seaux sociaux;Messaging / Messagerie (WhatsApp, etc.);Online classes/work / Cours ou travail en ligne;Browsing / Navigation</t>
  </si>
  <si>
    <t>Slow internet / Internet lent;Poor call quality / Mauvaise qualitÃ© dâ€™appel;Network outages / Pannes rÃ©seau</t>
  </si>
  <si>
    <t>nkengbihprecious541@gmail.com</t>
  </si>
  <si>
    <t>Slow internet / Internet lent;Call drops / Coupures d'appel;No signal / Pas de rÃ©seau</t>
  </si>
  <si>
    <t>School/Work / Ã‰cole/Travail;On the road / En dÃ©placement</t>
  </si>
  <si>
    <t>f732730@gmail.com</t>
  </si>
  <si>
    <t>Social media / RÃ©seaux sociaux;Messaging / Messagerie (WhatsApp, etc.);Online classes/work / Cours ou travail en ligne</t>
  </si>
  <si>
    <t>Data usage / Consommation de donnÃ©es</t>
  </si>
  <si>
    <t>lawrantineyibeh@gmail.com</t>
  </si>
  <si>
    <t>Privacy / ConfidentialitÃ©;Battery usage / Batterie</t>
  </si>
  <si>
    <t>clerksonpenn8@gmail.com</t>
  </si>
  <si>
    <t>Social media / RÃ©seaux sociaux;Messaging / Messagerie (WhatsApp, etc.);Online classes/work / Cours ou travail en ligne;Browsing / Navigation;</t>
  </si>
  <si>
    <t>Privacy / ConfidentialitÃ©;Data usage / Consommation de donnÃ©es</t>
  </si>
  <si>
    <t>cheforguyf16@yahoo.com</t>
  </si>
  <si>
    <t>Slow internet / Internet lent;Call drops / Coupures d'appel;Poor call quality / Mauvaise qualitÃ© dâ€™appel;Network outages / Pannes rÃ©seau</t>
  </si>
  <si>
    <t>blessingntenkia@gmail.com</t>
  </si>
  <si>
    <t>Very often / TrÃ¨s souvent;Often / Souvent</t>
  </si>
  <si>
    <t>Poor call quality / Mauvaise qualitÃ© dâ€™appel</t>
  </si>
  <si>
    <t>Video streaming / VidÃ©o (YouTube, Netflix);Messaging / Messagerie (WhatsApp, etc.);Browsing / Navigation</t>
  </si>
  <si>
    <t>Slow internet / Internet lent;Call drops / Coupures d'appel;Poor call quality / Mauvaise qualitÃ© dâ€™appel</t>
  </si>
  <si>
    <t>Privacy / ConfidentialitÃ©;Battery usage / Batterie;Data usage / Consommation de donnÃ©es</t>
  </si>
  <si>
    <t>Social media / RÃ©seaux sociaux;Video streaming / VidÃ©o (YouTube, Netflix);Messaging / Messagerie (WhatsApp, etc.);Online classes/work / Cours ou travail en ligne;Browsing / Navigation</t>
  </si>
  <si>
    <t>Social media / RÃ©seaux sociaux;Video streaming / VidÃ©o (YouTube, Netflix);Messaging / Messagerie (WhatsApp, etc.);Online classes/work / Cours ou travail en ligne;Gaming / Jeux;Browsing / Navigation</t>
  </si>
  <si>
    <t>Very Weak / TrÃ¨s faible</t>
  </si>
  <si>
    <t>Privacy / ConfidentialitÃ©;Battery usage / Batterie;Data usage / Consommation de donnÃ©es;Security / SÃ©curitÃ©;None / Aucune</t>
  </si>
  <si>
    <t>susantakor59@gmail.com</t>
  </si>
  <si>
    <t>rickytabe2@gmail.com</t>
  </si>
  <si>
    <t>randybright37@gmail.com</t>
  </si>
  <si>
    <t>yadjanga690@gmail.com</t>
  </si>
  <si>
    <t>maximilienneweah@gmail.com</t>
  </si>
  <si>
    <t>christabeltewah191@gmail.com</t>
  </si>
  <si>
    <t>bonmasylvia@gmail.com</t>
  </si>
  <si>
    <t>On the road / En dÃ©placement</t>
  </si>
  <si>
    <t>jamisonntuv@gmail.com</t>
  </si>
  <si>
    <t>Battery usage / Batterie;Data usage / Consommation de donnÃ©es</t>
  </si>
  <si>
    <t>nahfrancis64@gmail.com</t>
  </si>
  <si>
    <t xml:space="preserve">Social media / RÃ©seaux sociaux;Messaging / Messagerie (WhatsApp, etc.);Online classes/work / Cours ou travail en ligne;Programming </t>
  </si>
  <si>
    <t>tekweolivia@gmail.com</t>
  </si>
  <si>
    <t>gemuhakury@gmail.com</t>
  </si>
  <si>
    <t>Social media / RÃ©seaux sociaux;Video streaming / VidÃ©o (YouTube, Netflix);Messaging / Messagerie (WhatsApp, etc.)</t>
  </si>
  <si>
    <t>Slow internet / Internet lent;Poor call quality / Mauvaise qualitÃ© dâ€™appel</t>
  </si>
  <si>
    <t>Once a day / Une fois par jour;Only when there is a problem / Seulement en cas de problÃ¨me</t>
  </si>
  <si>
    <t>edelqueenmankaa@gmail.com</t>
  </si>
  <si>
    <t>thelmamarleyndayinu@gmail.com</t>
  </si>
  <si>
    <t>Slow internet / Internet lent;No signal / Pas de rÃ©seau;Poor call quality / Mauvaise qualitÃ© dâ€™appel;Network outages / Pannes rÃ©seau</t>
  </si>
  <si>
    <t>joyceani2005@gmail.com</t>
  </si>
  <si>
    <t>Social media / RÃ©seaux sociaux;Video streaming / VidÃ©o (YouTube, Netflix);Messaging / Messagerie (WhatsApp, etc.);Online classes/work / Cours ou travail en ligne</t>
  </si>
  <si>
    <t>School/Work / Ã‰cole/Travail;Everywhere / Partout</t>
  </si>
  <si>
    <t>calvintando222@gmail.com</t>
  </si>
  <si>
    <t>School/Work / Ã‰cole/Travail;On the road / En dÃ©placement;Everywhere / Partout</t>
  </si>
  <si>
    <t>mekemlaurice@gmail.com</t>
  </si>
  <si>
    <t>yebitbryanche@gmail.com</t>
  </si>
  <si>
    <t>clintonmuluh28@gmail.com</t>
  </si>
  <si>
    <t>machochicarine250@gmail.com</t>
  </si>
  <si>
    <t>Video streaming / VidÃ©o (YouTube, Netflix)</t>
  </si>
  <si>
    <t>pompidoudiaden@gmail.com</t>
  </si>
  <si>
    <t xml:space="preserve">Social media / RÃ©seaux sociaux;Online classes/work / Cours ou travail en ligne;Research and studies </t>
  </si>
  <si>
    <t>manplaulrich@gmail.com</t>
  </si>
  <si>
    <t>desmondmembo72@gmail.com</t>
  </si>
  <si>
    <t>atemnkengthelma267@gmail.com</t>
  </si>
  <si>
    <t>swirrifofang7@gmail.com</t>
  </si>
  <si>
    <t>Slow internet / Internet lent;Call drops / Coupures d'appel;No signal / Pas de rÃ©seau;Network outages / Pannes rÃ©seau</t>
  </si>
  <si>
    <t>Every time / Ã€ chaque fois;Once a day / Une fois par jour</t>
  </si>
  <si>
    <t>nkremy6@gmail.com</t>
  </si>
  <si>
    <t>njomenysteve@gmail.com</t>
  </si>
  <si>
    <t>Social media / RÃ©seaux sociaux;Messaging / Messagerie (WhatsApp, etc.);Browsing / Navigation</t>
  </si>
  <si>
    <t>mesembedanny@gmail.com</t>
  </si>
  <si>
    <t>animisaaac95@icloud.com</t>
  </si>
  <si>
    <t>Network outages / Pannes rÃ©seau</t>
  </si>
  <si>
    <t>danieltchonang505@gmail.com</t>
  </si>
  <si>
    <t>No signal / Pas de rÃ©seau;Poor call quality / Mauvaise qualitÃ© dâ€™appel;Network outages / Pannes rÃ©seau</t>
  </si>
  <si>
    <t>frankambassador72@gmail.com</t>
  </si>
  <si>
    <t>tendodio@gmail.com</t>
  </si>
  <si>
    <t>numforprecious7@gmail.com</t>
  </si>
  <si>
    <t>Very often / TrÃ¨s souvent;Never / Jamais</t>
  </si>
  <si>
    <t>damarise91.t@gmail.com</t>
  </si>
  <si>
    <t>ngweseeleen01@gmail.com</t>
  </si>
  <si>
    <t>mbahjohngift@gmail.com</t>
  </si>
  <si>
    <t>agbornjabesong@gmail.com</t>
  </si>
  <si>
    <t>aubrytadjeu@gmail.com</t>
  </si>
  <si>
    <t>Social media / RÃ©seaux sociaux;Video streaming / VidÃ©o (YouTube, Netflix);Messaging / Messagerie (WhatsApp, etc.);Online classes/work / Cours ou travail en ligne;</t>
  </si>
  <si>
    <t>diffojordan37@gmail.com</t>
  </si>
  <si>
    <t xml:space="preserve">Social media / RÃ©seaux sociaux;Video streaming / VidÃ©o (YouTube, Netflix);Messaging / Messagerie (WhatsApp, etc.);Online classes/work / Cours ou travail en ligne;Research </t>
  </si>
  <si>
    <t>njodzekareela@gmail.com</t>
  </si>
  <si>
    <t>w31449331@gmail.com</t>
  </si>
  <si>
    <t>orchellenanfack049@gmail.com</t>
  </si>
  <si>
    <t>Very Poor / TrÃ¨s mauvaise;Poor / Mauvaise</t>
  </si>
  <si>
    <t>Call drops / Coupures d'appel;No signal / Pas de rÃ©seau;Poor call quality / Mauvaise qualitÃ© dâ€™appel</t>
  </si>
  <si>
    <t>tobeypaul3@gmail.com</t>
  </si>
  <si>
    <t>favourfowfief@gmail.com</t>
  </si>
  <si>
    <t>nfamalando@gmail.com</t>
  </si>
  <si>
    <t>chahkeziah@gmail.com</t>
  </si>
  <si>
    <t>davidharry870dh3819725@gmail.com</t>
  </si>
  <si>
    <t>mouminihadamu@gmail.com</t>
  </si>
  <si>
    <t>Social media / RÃ©seaux sociaux;Messaging / Messagerie (WhatsApp, etc.);Online classes/work / Cours ou travail en ligne;</t>
  </si>
  <si>
    <t>elsawhitney162@gmail.com</t>
  </si>
  <si>
    <t>Social media / RÃ©seaux sociaux;Video streaming / VidÃ©o (YouTube, Netflix);Online classes/work / Cours ou travail en ligne</t>
  </si>
  <si>
    <t>samamariette6@gmail.com</t>
  </si>
  <si>
    <t>ejollecynthiaepsemuabe@gmail.com</t>
  </si>
  <si>
    <t>eeugenelee444@gmail.com</t>
  </si>
  <si>
    <t>ernangowah@gmail.com</t>
  </si>
  <si>
    <t>blessnji51@gmail.com</t>
  </si>
  <si>
    <t>tumejunior16@gmail.com</t>
  </si>
  <si>
    <t>rosycarverofficial@gmail.com</t>
  </si>
  <si>
    <t>Social media / RÃ©seaux sociaux;Online classes/work / Cours ou travail en ligne;Browsing / Navigation</t>
  </si>
  <si>
    <t>dipipibrightworld6@gmail.com</t>
  </si>
  <si>
    <t>bantarsolomon@gmail.com</t>
  </si>
  <si>
    <t>Social media / RÃ©seaux sociaux;Messaging / Messagerie (WhatsApp, etc.);Gaming / Jeux;</t>
  </si>
  <si>
    <t>kum648bache@gmail.com</t>
  </si>
  <si>
    <t>tanohfrank888@gmail.com</t>
  </si>
  <si>
    <t>inyangtaku@gmail.com</t>
  </si>
  <si>
    <t>tohrolandngong@gmail.com</t>
  </si>
  <si>
    <t>lawrenceechundip@gmail.com</t>
  </si>
  <si>
    <t>nsanentraceymbehte@gmail.com</t>
  </si>
  <si>
    <t>Social media / RÃ©seaux sociaux;Video streaming / VidÃ©o (YouTube, Netflix);Messaging / Messagerie (WhatsApp, etc.);Online classes/work / Cours ou travail en ligne;Gaming / Jeux;Browsing / Navigation;</t>
  </si>
  <si>
    <t>njock.awoh@gmail.com</t>
  </si>
  <si>
    <t>debbyaimeedebby@gmail.com</t>
  </si>
  <si>
    <t>dipitamouna19@gmail.com</t>
  </si>
  <si>
    <t>biolafrank89@gmail.com</t>
  </si>
  <si>
    <t>ttprcs@gmail.com</t>
  </si>
  <si>
    <t>Social media / RÃ©seaux sociaux;Video streaming / VidÃ©o (YouTube, Netflix);Messaging / Messagerie (WhatsApp, etc.);Browsing / Navigation</t>
  </si>
  <si>
    <t>michaelboma157@gmail.com</t>
  </si>
  <si>
    <t>verngum@gmail.com</t>
  </si>
  <si>
    <t>Video streaming / VidÃ©o (YouTube, Netflix);Messaging / Messagerie (WhatsApp, etc.);Online classes/work / Cours ou travail en ligne;Browsing / Navigation</t>
  </si>
  <si>
    <t>ndichiadenis@gmail.com</t>
  </si>
  <si>
    <t>darlainegnivobo@gmail.com</t>
  </si>
  <si>
    <t>samuelwilliammvogo@gmail.com</t>
  </si>
  <si>
    <t>maigongneb@gmail.com</t>
  </si>
  <si>
    <t>stellaateh891@gmail.com</t>
  </si>
  <si>
    <t>Social media / RÃ©seaux sociaux;Messaging / Messagerie (WhatsApp, etc.);Gaming / Jeux</t>
  </si>
  <si>
    <t>stallymeli@gmail.com</t>
  </si>
  <si>
    <t xml:space="preserve">Social media / RÃ©seaux sociaux;Video streaming / VidÃ©o (YouTube, Netflix);Messaging / Messagerie (WhatsApp, etc.);Online classes/work / Cours ou travail en ligne;Gaming / Jeux;Browsing / Navigation;Business </t>
  </si>
  <si>
    <t>anitandille@gmail.com</t>
  </si>
  <si>
    <t>sheyderrick84@gmail.com</t>
  </si>
  <si>
    <t>aldrickfokam@gmail.com</t>
  </si>
  <si>
    <t>yengahhappy@gmail.com</t>
  </si>
  <si>
    <t>Social media / RÃ©seaux sociaux;Video streaming / VidÃ©o (YouTube, Netflix);Messaging / Messagerie (WhatsApp, etc.);Online classes/work / Cours ou travail en ligne;Browsing / Navigation;</t>
  </si>
  <si>
    <t>teyimemelda22@gmail.com</t>
  </si>
  <si>
    <t>wantedromero205@gmail.com</t>
  </si>
  <si>
    <t>brycebigo@gmail.com</t>
  </si>
  <si>
    <t>Social media / RÃ©seaux sociaux;Gaming / Jeux</t>
  </si>
  <si>
    <t>egbefrancis99@gmail.com</t>
  </si>
  <si>
    <t>Social media / RÃ©seaux sociaux;Video streaming / VidÃ©o (YouTube, Netflix);Online classes/work / Cours ou travail en ligne;Gaming / Jeux;Browsing / Navigation;</t>
  </si>
  <si>
    <t>chemedward92@gmail.com</t>
  </si>
  <si>
    <t>ndiulaeldenzelndangulae@gmail.com</t>
  </si>
  <si>
    <t>tambeenowtabiprincely@gmail.com</t>
  </si>
  <si>
    <t>syntychenolah@gmail.com</t>
  </si>
  <si>
    <t>Social media / RÃ©seaux sociaux;</t>
  </si>
  <si>
    <t>haoua8066@gmail.Com</t>
  </si>
  <si>
    <t>raphaelbayang132@gmail.com</t>
  </si>
  <si>
    <t>lenaabanda23@gmail.com</t>
  </si>
  <si>
    <t>londamengwe@gmail.com</t>
  </si>
  <si>
    <t>ashunfidelis@gmail.com</t>
  </si>
  <si>
    <t>jacyrobinsong@gmail.com</t>
  </si>
  <si>
    <t>miltonkhan030@gmail.com</t>
  </si>
  <si>
    <t>djieutcheuchantal@gmail.com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</si>
</sst>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%"/>
  </numFmts>
  <fonts count="5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Border="1" applyAlignment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zoomScale="25" zoomScaleNormal="25" workbookViewId="0">
      <pane ySplit="1" topLeftCell="A2" activePane="bottomLeft" state="frozen"/>
      <selection pane="bottomLeft" activeCell="H2" sqref="H2"/>
    </sheetView>
  </sheetViews>
  <sheetFormatPr defaultColWidth="8.7265625" defaultRowHeight="14.5" x14ac:dyDescent="0.35"/>
  <cols>
    <col min="1" max="1" width="28.54296875" style="1" bestFit="1" customWidth="1"/>
    <col min="2" max="2" width="37.08984375" style="1" bestFit="1" customWidth="1"/>
    <col min="3" max="3" width="44.08984375" style="1" bestFit="1" customWidth="1"/>
    <col min="4" max="4" width="78.7265625" style="1" bestFit="1" customWidth="1"/>
    <col min="5" max="5" width="72.453125" style="1" bestFit="1" customWidth="1"/>
    <col min="6" max="6" width="29.1796875" style="1" bestFit="1" customWidth="1"/>
    <col min="7" max="7" width="89.36328125" style="1" bestFit="1" customWidth="1"/>
    <col min="8" max="8" width="202.7265625" style="1" bestFit="1" customWidth="1"/>
    <col min="9" max="9" width="101.7265625" style="1" bestFit="1" customWidth="1"/>
    <col min="10" max="10" width="91.81640625" style="1" bestFit="1" customWidth="1"/>
    <col min="11" max="11" width="102.26953125" style="1" bestFit="1" customWidth="1"/>
    <col min="12" max="12" width="111" style="1" bestFit="1" customWidth="1"/>
    <col min="13" max="13" width="162.36328125" style="1" bestFit="1" customWidth="1"/>
    <col min="14" max="14" width="89" style="1" bestFit="1" customWidth="1"/>
    <col min="15" max="15" width="68.7265625" style="1" bestFit="1" customWidth="1"/>
    <col min="16" max="16" width="87" style="1" bestFit="1" customWidth="1"/>
    <col min="17" max="17" width="90.54296875" style="1" bestFit="1" customWidth="1"/>
    <col min="18" max="18" width="123.7265625" style="1" bestFit="1" customWidth="1"/>
    <col min="19" max="19" width="114.81640625" style="1" bestFit="1" customWidth="1"/>
    <col min="20" max="20" width="133.26953125" style="1" bestFit="1" customWidth="1"/>
    <col min="21" max="21" width="110.36328125" style="1" bestFit="1" customWidth="1"/>
    <col min="22" max="22" width="96.08984375" style="1" bestFit="1" customWidth="1"/>
    <col min="23" max="23" width="123.08984375" style="1" bestFit="1" customWidth="1"/>
    <col min="24" max="24" width="123.08984375" bestFit="1" customWidth="1"/>
  </cols>
  <sheetData>
    <row r="1" spans="1:24" ht="45" customHeight="1" x14ac:dyDescent="0.35">
      <c r="A1" t="s">
        <v>0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  <c r="J1" t="s">
        <v>468</v>
      </c>
      <c r="K1" t="s">
        <v>469</v>
      </c>
      <c r="L1" t="s">
        <v>470</v>
      </c>
      <c r="M1" t="s">
        <v>471</v>
      </c>
      <c r="N1" t="s">
        <v>472</v>
      </c>
      <c r="O1" t="s">
        <v>473</v>
      </c>
      <c r="P1" t="s">
        <v>474</v>
      </c>
      <c r="Q1" t="s">
        <v>475</v>
      </c>
      <c r="R1" t="s">
        <v>476</v>
      </c>
      <c r="S1" t="s">
        <v>477</v>
      </c>
      <c r="T1" t="s">
        <v>478</v>
      </c>
      <c r="U1" t="s">
        <v>479</v>
      </c>
      <c r="V1" t="s">
        <v>480</v>
      </c>
      <c r="W1" s="13" t="s">
        <v>481</v>
      </c>
    </row>
    <row r="2" spans="1:24" ht="24.75" customHeight="1" x14ac:dyDescent="0.35">
      <c r="A2" t="s">
        <v>23</v>
      </c>
      <c r="B2" t="s">
        <v>482</v>
      </c>
      <c r="C2" t="s">
        <v>25</v>
      </c>
      <c r="D2" t="s">
        <v>26</v>
      </c>
      <c r="E2" t="s">
        <v>27</v>
      </c>
      <c r="F2" t="s">
        <v>28</v>
      </c>
      <c r="G2" t="s">
        <v>483</v>
      </c>
      <c r="H2" t="s">
        <v>29</v>
      </c>
      <c r="I2" t="s">
        <v>30</v>
      </c>
      <c r="J2">
        <v>2</v>
      </c>
      <c r="K2" t="s">
        <v>31</v>
      </c>
      <c r="L2" t="s">
        <v>32</v>
      </c>
      <c r="M2" t="s">
        <v>33</v>
      </c>
      <c r="N2" t="s">
        <v>32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38</v>
      </c>
      <c r="U2" t="s">
        <v>39</v>
      </c>
      <c r="V2" t="s">
        <v>38</v>
      </c>
      <c r="W2" t="s">
        <v>484</v>
      </c>
      <c r="X2" t="s">
        <v>484</v>
      </c>
    </row>
    <row r="3" spans="1:24" ht="24.75" customHeight="1" x14ac:dyDescent="0.35">
      <c r="A3" t="s">
        <v>40</v>
      </c>
      <c r="B3" t="s">
        <v>485</v>
      </c>
      <c r="C3" t="s">
        <v>42</v>
      </c>
      <c r="D3" t="s">
        <v>26</v>
      </c>
      <c r="E3" t="s">
        <v>27</v>
      </c>
      <c r="F3" t="s">
        <v>28</v>
      </c>
      <c r="G3" t="s">
        <v>483</v>
      </c>
      <c r="H3" t="s">
        <v>486</v>
      </c>
      <c r="I3" t="s">
        <v>487</v>
      </c>
      <c r="J3">
        <v>3</v>
      </c>
      <c r="K3" t="s">
        <v>488</v>
      </c>
      <c r="L3" t="s">
        <v>32</v>
      </c>
      <c r="M3" t="s">
        <v>33</v>
      </c>
      <c r="N3" t="s">
        <v>483</v>
      </c>
      <c r="O3" t="s">
        <v>34</v>
      </c>
      <c r="P3" t="s">
        <v>35</v>
      </c>
      <c r="Q3" t="s">
        <v>43</v>
      </c>
      <c r="R3" t="s">
        <v>37</v>
      </c>
      <c r="S3" t="s">
        <v>44</v>
      </c>
      <c r="T3" t="s">
        <v>44</v>
      </c>
      <c r="U3" t="s">
        <v>45</v>
      </c>
      <c r="V3" t="s">
        <v>44</v>
      </c>
      <c r="W3" t="s">
        <v>489</v>
      </c>
      <c r="X3" t="s">
        <v>490</v>
      </c>
    </row>
    <row r="4" spans="1:24" ht="24.75" customHeight="1" x14ac:dyDescent="0.35">
      <c r="A4" t="s">
        <v>46</v>
      </c>
      <c r="B4" t="s">
        <v>491</v>
      </c>
      <c r="C4" t="s">
        <v>48</v>
      </c>
      <c r="D4" t="s">
        <v>49</v>
      </c>
      <c r="E4" t="s">
        <v>50</v>
      </c>
      <c r="F4" t="s">
        <v>28</v>
      </c>
      <c r="G4" t="s">
        <v>483</v>
      </c>
      <c r="H4" t="s">
        <v>492</v>
      </c>
      <c r="I4" t="s">
        <v>51</v>
      </c>
      <c r="J4">
        <v>3</v>
      </c>
      <c r="K4" t="s">
        <v>51</v>
      </c>
      <c r="L4" t="s">
        <v>52</v>
      </c>
      <c r="M4" t="s">
        <v>493</v>
      </c>
      <c r="N4" t="s">
        <v>32</v>
      </c>
      <c r="O4" t="s">
        <v>494</v>
      </c>
      <c r="P4" t="s">
        <v>35</v>
      </c>
      <c r="Q4" t="s">
        <v>43</v>
      </c>
      <c r="R4" t="s">
        <v>53</v>
      </c>
      <c r="S4" t="s">
        <v>38</v>
      </c>
      <c r="T4" t="s">
        <v>38</v>
      </c>
      <c r="U4" t="s">
        <v>39</v>
      </c>
      <c r="V4" t="s">
        <v>38</v>
      </c>
      <c r="W4" t="s">
        <v>495</v>
      </c>
      <c r="X4" t="s">
        <v>495</v>
      </c>
    </row>
    <row r="5" spans="1:24" ht="24.75" customHeight="1" x14ac:dyDescent="0.35">
      <c r="A5" t="s">
        <v>54</v>
      </c>
      <c r="B5" t="s">
        <v>496</v>
      </c>
      <c r="C5" t="s">
        <v>42</v>
      </c>
      <c r="D5" t="s">
        <v>26</v>
      </c>
      <c r="E5" t="s">
        <v>27</v>
      </c>
      <c r="F5" t="s">
        <v>28</v>
      </c>
      <c r="G5" t="s">
        <v>483</v>
      </c>
      <c r="H5" t="s">
        <v>486</v>
      </c>
      <c r="I5" t="s">
        <v>56</v>
      </c>
      <c r="J5">
        <v>3</v>
      </c>
      <c r="K5" t="s">
        <v>51</v>
      </c>
      <c r="L5" t="s">
        <v>52</v>
      </c>
      <c r="M5" t="s">
        <v>33</v>
      </c>
      <c r="N5" t="s">
        <v>32</v>
      </c>
      <c r="O5" t="s">
        <v>57</v>
      </c>
      <c r="P5" t="s">
        <v>497</v>
      </c>
      <c r="Q5" t="s">
        <v>43</v>
      </c>
      <c r="R5" t="s">
        <v>37</v>
      </c>
      <c r="S5" t="s">
        <v>38</v>
      </c>
      <c r="T5" t="s">
        <v>38</v>
      </c>
      <c r="U5" t="s">
        <v>498</v>
      </c>
      <c r="V5" t="s">
        <v>38</v>
      </c>
      <c r="W5" t="s">
        <v>499</v>
      </c>
      <c r="X5" t="s">
        <v>500</v>
      </c>
    </row>
    <row r="6" spans="1:24" ht="24.75" customHeight="1" x14ac:dyDescent="0.35">
      <c r="A6" t="s">
        <v>58</v>
      </c>
      <c r="B6" t="s">
        <v>501</v>
      </c>
      <c r="C6" t="s">
        <v>60</v>
      </c>
      <c r="D6" t="s">
        <v>26</v>
      </c>
      <c r="E6" t="s">
        <v>61</v>
      </c>
      <c r="F6" t="s">
        <v>62</v>
      </c>
      <c r="G6" t="s">
        <v>483</v>
      </c>
      <c r="H6" t="s">
        <v>502</v>
      </c>
      <c r="I6" t="s">
        <v>51</v>
      </c>
      <c r="J6">
        <v>2</v>
      </c>
      <c r="K6" t="s">
        <v>31</v>
      </c>
      <c r="L6" t="s">
        <v>32</v>
      </c>
      <c r="M6" t="s">
        <v>503</v>
      </c>
      <c r="N6" t="s">
        <v>32</v>
      </c>
      <c r="O6" t="s">
        <v>494</v>
      </c>
      <c r="P6" t="s">
        <v>35</v>
      </c>
      <c r="Q6" t="s">
        <v>43</v>
      </c>
      <c r="R6" t="s">
        <v>37</v>
      </c>
      <c r="S6" t="s">
        <v>38</v>
      </c>
      <c r="T6" t="s">
        <v>38</v>
      </c>
      <c r="U6" t="s">
        <v>498</v>
      </c>
      <c r="V6" t="s">
        <v>38</v>
      </c>
      <c r="W6" t="s">
        <v>495</v>
      </c>
      <c r="X6" t="s">
        <v>495</v>
      </c>
    </row>
    <row r="7" spans="1:24" ht="24.75" customHeight="1" x14ac:dyDescent="0.35">
      <c r="A7" t="s">
        <v>63</v>
      </c>
      <c r="B7" t="s">
        <v>504</v>
      </c>
      <c r="C7" t="s">
        <v>42</v>
      </c>
      <c r="D7" t="s">
        <v>65</v>
      </c>
      <c r="E7" t="s">
        <v>27</v>
      </c>
      <c r="F7" t="s">
        <v>66</v>
      </c>
      <c r="G7" t="s">
        <v>483</v>
      </c>
      <c r="H7" t="s">
        <v>505</v>
      </c>
      <c r="I7" t="s">
        <v>51</v>
      </c>
      <c r="J7">
        <v>2</v>
      </c>
      <c r="K7" t="s">
        <v>51</v>
      </c>
      <c r="L7" t="s">
        <v>67</v>
      </c>
      <c r="M7" t="s">
        <v>506</v>
      </c>
      <c r="N7" t="s">
        <v>483</v>
      </c>
      <c r="O7" t="s">
        <v>494</v>
      </c>
      <c r="P7" t="s">
        <v>497</v>
      </c>
      <c r="Q7" t="s">
        <v>68</v>
      </c>
      <c r="R7" t="s">
        <v>37</v>
      </c>
      <c r="S7" t="s">
        <v>38</v>
      </c>
      <c r="T7" t="s">
        <v>44</v>
      </c>
      <c r="U7" t="s">
        <v>498</v>
      </c>
      <c r="V7" t="s">
        <v>44</v>
      </c>
      <c r="W7" t="s">
        <v>507</v>
      </c>
      <c r="X7" t="s">
        <v>508</v>
      </c>
    </row>
    <row r="8" spans="1:24" ht="24.75" customHeight="1" x14ac:dyDescent="0.35">
      <c r="A8" t="s">
        <v>69</v>
      </c>
      <c r="B8" t="s">
        <v>509</v>
      </c>
      <c r="C8" t="s">
        <v>42</v>
      </c>
      <c r="D8" t="s">
        <v>26</v>
      </c>
      <c r="E8" t="s">
        <v>27</v>
      </c>
      <c r="F8" t="s">
        <v>28</v>
      </c>
      <c r="G8" t="s">
        <v>32</v>
      </c>
      <c r="H8" t="s">
        <v>71</v>
      </c>
      <c r="I8" t="s">
        <v>30</v>
      </c>
      <c r="J8">
        <v>1</v>
      </c>
      <c r="K8" t="s">
        <v>31</v>
      </c>
      <c r="L8" t="s">
        <v>67</v>
      </c>
      <c r="M8" t="s">
        <v>510</v>
      </c>
      <c r="N8" t="s">
        <v>32</v>
      </c>
      <c r="O8" t="s">
        <v>494</v>
      </c>
      <c r="P8" t="s">
        <v>497</v>
      </c>
      <c r="Q8" t="s">
        <v>36</v>
      </c>
      <c r="R8" t="s">
        <v>37</v>
      </c>
      <c r="S8" t="s">
        <v>44</v>
      </c>
      <c r="T8" t="s">
        <v>44</v>
      </c>
      <c r="U8" t="s">
        <v>511</v>
      </c>
      <c r="V8" t="s">
        <v>44</v>
      </c>
      <c r="W8" t="s">
        <v>507</v>
      </c>
      <c r="X8" t="s">
        <v>507</v>
      </c>
    </row>
    <row r="9" spans="1:24" ht="24.75" customHeight="1" x14ac:dyDescent="0.35">
      <c r="A9" t="s">
        <v>72</v>
      </c>
      <c r="B9" t="s">
        <v>512</v>
      </c>
      <c r="C9" t="s">
        <v>60</v>
      </c>
      <c r="D9" t="s">
        <v>49</v>
      </c>
      <c r="E9" t="s">
        <v>27</v>
      </c>
      <c r="F9" t="s">
        <v>28</v>
      </c>
      <c r="G9" t="s">
        <v>483</v>
      </c>
      <c r="H9" t="s">
        <v>513</v>
      </c>
      <c r="I9" t="s">
        <v>51</v>
      </c>
      <c r="J9">
        <v>3</v>
      </c>
      <c r="K9" t="s">
        <v>51</v>
      </c>
      <c r="L9" t="s">
        <v>52</v>
      </c>
      <c r="M9" t="s">
        <v>514</v>
      </c>
      <c r="N9" t="s">
        <v>32</v>
      </c>
      <c r="O9" t="s">
        <v>494</v>
      </c>
      <c r="P9" t="s">
        <v>35</v>
      </c>
      <c r="Q9" t="s">
        <v>43</v>
      </c>
      <c r="R9" t="s">
        <v>53</v>
      </c>
      <c r="S9" t="s">
        <v>38</v>
      </c>
      <c r="T9" t="s">
        <v>38</v>
      </c>
      <c r="U9" t="s">
        <v>511</v>
      </c>
      <c r="V9" t="s">
        <v>38</v>
      </c>
      <c r="W9" t="s">
        <v>490</v>
      </c>
      <c r="X9" t="s">
        <v>165</v>
      </c>
    </row>
    <row r="10" spans="1:24" ht="24.75" customHeight="1" x14ac:dyDescent="0.35">
      <c r="A10" t="s">
        <v>74</v>
      </c>
      <c r="B10" t="s">
        <v>515</v>
      </c>
      <c r="C10" t="s">
        <v>48</v>
      </c>
      <c r="D10" t="s">
        <v>76</v>
      </c>
      <c r="E10" t="s">
        <v>27</v>
      </c>
      <c r="F10" t="s">
        <v>62</v>
      </c>
      <c r="G10" t="s">
        <v>483</v>
      </c>
      <c r="H10" t="s">
        <v>516</v>
      </c>
      <c r="I10" t="s">
        <v>51</v>
      </c>
      <c r="J10">
        <v>3</v>
      </c>
      <c r="K10" t="s">
        <v>51</v>
      </c>
      <c r="L10" t="s">
        <v>52</v>
      </c>
      <c r="M10" t="s">
        <v>517</v>
      </c>
      <c r="N10" t="s">
        <v>52</v>
      </c>
      <c r="O10" t="s">
        <v>494</v>
      </c>
      <c r="P10" t="s">
        <v>35</v>
      </c>
      <c r="Q10" t="s">
        <v>43</v>
      </c>
      <c r="R10" t="s">
        <v>37</v>
      </c>
      <c r="S10" t="s">
        <v>44</v>
      </c>
      <c r="T10" t="s">
        <v>44</v>
      </c>
      <c r="U10" t="s">
        <v>498</v>
      </c>
      <c r="V10" t="s">
        <v>44</v>
      </c>
      <c r="W10" t="s">
        <v>77</v>
      </c>
      <c r="X10" t="s">
        <v>77</v>
      </c>
    </row>
    <row r="11" spans="1:24" ht="24.75" customHeight="1" x14ac:dyDescent="0.35">
      <c r="A11" t="s">
        <v>78</v>
      </c>
      <c r="B11" t="s">
        <v>518</v>
      </c>
      <c r="C11" t="s">
        <v>42</v>
      </c>
      <c r="D11" t="s">
        <v>49</v>
      </c>
      <c r="E11" t="s">
        <v>50</v>
      </c>
      <c r="F11" t="s">
        <v>66</v>
      </c>
      <c r="G11" t="s">
        <v>483</v>
      </c>
      <c r="H11" t="s">
        <v>80</v>
      </c>
      <c r="I11" t="s">
        <v>81</v>
      </c>
      <c r="J11">
        <v>4</v>
      </c>
      <c r="K11" t="s">
        <v>82</v>
      </c>
      <c r="L11" t="s">
        <v>45</v>
      </c>
      <c r="M11" t="s">
        <v>33</v>
      </c>
      <c r="N11" t="s">
        <v>52</v>
      </c>
      <c r="O11" t="s">
        <v>494</v>
      </c>
      <c r="P11" t="s">
        <v>497</v>
      </c>
      <c r="Q11" t="s">
        <v>43</v>
      </c>
      <c r="R11" t="s">
        <v>37</v>
      </c>
      <c r="S11" t="s">
        <v>38</v>
      </c>
      <c r="T11" t="s">
        <v>44</v>
      </c>
      <c r="U11" t="s">
        <v>39</v>
      </c>
      <c r="V11" t="s">
        <v>44</v>
      </c>
      <c r="W11" t="s">
        <v>490</v>
      </c>
      <c r="X11" t="s">
        <v>490</v>
      </c>
    </row>
    <row r="12" spans="1:24" ht="24.75" customHeight="1" x14ac:dyDescent="0.35">
      <c r="A12" t="s">
        <v>83</v>
      </c>
      <c r="B12" t="s">
        <v>519</v>
      </c>
      <c r="C12" t="s">
        <v>42</v>
      </c>
      <c r="D12" t="s">
        <v>26</v>
      </c>
      <c r="E12" t="s">
        <v>50</v>
      </c>
      <c r="F12" t="s">
        <v>28</v>
      </c>
      <c r="G12" t="s">
        <v>483</v>
      </c>
      <c r="H12" t="s">
        <v>520</v>
      </c>
      <c r="I12" t="s">
        <v>30</v>
      </c>
      <c r="J12">
        <v>3</v>
      </c>
      <c r="K12" t="s">
        <v>31</v>
      </c>
      <c r="L12" t="s">
        <v>32</v>
      </c>
      <c r="M12" t="s">
        <v>521</v>
      </c>
      <c r="N12" t="s">
        <v>52</v>
      </c>
      <c r="O12" t="s">
        <v>494</v>
      </c>
      <c r="P12" t="s">
        <v>35</v>
      </c>
      <c r="Q12" t="s">
        <v>43</v>
      </c>
      <c r="R12" t="s">
        <v>53</v>
      </c>
      <c r="S12" t="s">
        <v>38</v>
      </c>
      <c r="T12" t="s">
        <v>44</v>
      </c>
      <c r="U12" t="s">
        <v>498</v>
      </c>
      <c r="V12" t="s">
        <v>44</v>
      </c>
      <c r="W12" t="s">
        <v>490</v>
      </c>
      <c r="X12" t="s">
        <v>500</v>
      </c>
    </row>
    <row r="13" spans="1:24" ht="24.75" customHeight="1" x14ac:dyDescent="0.35">
      <c r="A13" t="s">
        <v>85</v>
      </c>
      <c r="B13" t="s">
        <v>522</v>
      </c>
      <c r="C13" t="s">
        <v>42</v>
      </c>
      <c r="D13" t="s">
        <v>49</v>
      </c>
      <c r="E13" t="s">
        <v>27</v>
      </c>
      <c r="F13" t="s">
        <v>28</v>
      </c>
      <c r="G13" t="s">
        <v>483</v>
      </c>
      <c r="H13" t="s">
        <v>523</v>
      </c>
      <c r="I13" t="s">
        <v>30</v>
      </c>
      <c r="J13">
        <v>2</v>
      </c>
      <c r="K13" t="s">
        <v>51</v>
      </c>
      <c r="L13" t="s">
        <v>32</v>
      </c>
      <c r="M13" t="s">
        <v>524</v>
      </c>
      <c r="N13" t="s">
        <v>32</v>
      </c>
      <c r="O13" t="s">
        <v>494</v>
      </c>
      <c r="P13" t="s">
        <v>35</v>
      </c>
      <c r="Q13" t="s">
        <v>43</v>
      </c>
      <c r="R13" t="s">
        <v>37</v>
      </c>
      <c r="S13" t="s">
        <v>38</v>
      </c>
      <c r="T13" t="s">
        <v>44</v>
      </c>
      <c r="U13" t="s">
        <v>498</v>
      </c>
      <c r="V13" t="s">
        <v>44</v>
      </c>
      <c r="W13" t="s">
        <v>495</v>
      </c>
      <c r="X13" t="s">
        <v>495</v>
      </c>
    </row>
    <row r="14" spans="1:24" ht="24.75" customHeight="1" x14ac:dyDescent="0.35">
      <c r="A14" t="s">
        <v>87</v>
      </c>
      <c r="B14" t="s">
        <v>525</v>
      </c>
      <c r="C14" t="s">
        <v>42</v>
      </c>
      <c r="D14" t="s">
        <v>26</v>
      </c>
      <c r="E14" t="s">
        <v>27</v>
      </c>
      <c r="F14" t="s">
        <v>66</v>
      </c>
      <c r="G14" t="s">
        <v>483</v>
      </c>
      <c r="H14" t="s">
        <v>89</v>
      </c>
      <c r="I14" t="s">
        <v>30</v>
      </c>
      <c r="J14">
        <v>3</v>
      </c>
      <c r="K14" t="s">
        <v>31</v>
      </c>
      <c r="L14" t="s">
        <v>32</v>
      </c>
      <c r="M14" t="s">
        <v>526</v>
      </c>
      <c r="N14" t="s">
        <v>32</v>
      </c>
      <c r="O14" t="s">
        <v>494</v>
      </c>
      <c r="P14" t="s">
        <v>527</v>
      </c>
      <c r="Q14" t="s">
        <v>36</v>
      </c>
      <c r="R14" t="s">
        <v>37</v>
      </c>
      <c r="S14" t="s">
        <v>38</v>
      </c>
      <c r="T14" t="s">
        <v>38</v>
      </c>
      <c r="U14" t="s">
        <v>498</v>
      </c>
      <c r="V14" t="s">
        <v>44</v>
      </c>
      <c r="W14" t="s">
        <v>499</v>
      </c>
      <c r="X14" t="s">
        <v>499</v>
      </c>
    </row>
    <row r="15" spans="1:24" ht="24.75" customHeight="1" x14ac:dyDescent="0.35">
      <c r="A15" t="s">
        <v>90</v>
      </c>
      <c r="B15" t="s">
        <v>528</v>
      </c>
      <c r="C15" t="s">
        <v>42</v>
      </c>
      <c r="D15" t="s">
        <v>49</v>
      </c>
      <c r="E15" t="s">
        <v>27</v>
      </c>
      <c r="F15" t="s">
        <v>66</v>
      </c>
      <c r="G15" t="s">
        <v>483</v>
      </c>
      <c r="H15" t="s">
        <v>529</v>
      </c>
      <c r="I15" t="s">
        <v>51</v>
      </c>
      <c r="J15">
        <v>3</v>
      </c>
      <c r="K15" t="s">
        <v>51</v>
      </c>
      <c r="L15" t="s">
        <v>32</v>
      </c>
      <c r="M15" t="s">
        <v>33</v>
      </c>
      <c r="N15" t="s">
        <v>483</v>
      </c>
      <c r="O15" t="s">
        <v>494</v>
      </c>
      <c r="P15" t="s">
        <v>497</v>
      </c>
      <c r="Q15" t="s">
        <v>43</v>
      </c>
      <c r="R15" t="s">
        <v>53</v>
      </c>
      <c r="S15" t="s">
        <v>38</v>
      </c>
      <c r="T15" t="s">
        <v>38</v>
      </c>
      <c r="U15" t="s">
        <v>498</v>
      </c>
      <c r="V15" t="s">
        <v>44</v>
      </c>
      <c r="W15" t="s">
        <v>500</v>
      </c>
      <c r="X15" t="s">
        <v>530</v>
      </c>
    </row>
    <row r="16" spans="1:24" ht="24.75" customHeight="1" x14ac:dyDescent="0.35">
      <c r="A16" t="s">
        <v>92</v>
      </c>
      <c r="B16" t="s">
        <v>531</v>
      </c>
      <c r="C16" t="s">
        <v>42</v>
      </c>
      <c r="D16" t="s">
        <v>49</v>
      </c>
      <c r="E16" t="s">
        <v>27</v>
      </c>
      <c r="F16" t="s">
        <v>66</v>
      </c>
      <c r="G16" t="s">
        <v>483</v>
      </c>
      <c r="H16" t="s">
        <v>29</v>
      </c>
      <c r="I16" t="s">
        <v>51</v>
      </c>
      <c r="J16">
        <v>3</v>
      </c>
      <c r="K16" t="s">
        <v>51</v>
      </c>
      <c r="L16" t="s">
        <v>32</v>
      </c>
      <c r="M16" t="s">
        <v>517</v>
      </c>
      <c r="N16" t="s">
        <v>483</v>
      </c>
      <c r="O16" t="s">
        <v>494</v>
      </c>
      <c r="P16" t="s">
        <v>497</v>
      </c>
      <c r="Q16" t="s">
        <v>43</v>
      </c>
      <c r="R16" t="s">
        <v>53</v>
      </c>
      <c r="S16" t="s">
        <v>38</v>
      </c>
      <c r="T16" t="s">
        <v>38</v>
      </c>
      <c r="U16" t="s">
        <v>498</v>
      </c>
      <c r="V16" t="s">
        <v>38</v>
      </c>
      <c r="W16" t="s">
        <v>532</v>
      </c>
      <c r="X16" t="s">
        <v>490</v>
      </c>
    </row>
    <row r="17" spans="1:24" ht="24.75" customHeight="1" x14ac:dyDescent="0.35">
      <c r="A17" t="s">
        <v>94</v>
      </c>
      <c r="B17" t="s">
        <v>533</v>
      </c>
      <c r="C17" t="s">
        <v>42</v>
      </c>
      <c r="D17" t="s">
        <v>49</v>
      </c>
      <c r="E17" t="s">
        <v>27</v>
      </c>
      <c r="F17" t="s">
        <v>62</v>
      </c>
      <c r="G17" t="s">
        <v>483</v>
      </c>
      <c r="H17" t="s">
        <v>534</v>
      </c>
      <c r="I17" t="s">
        <v>30</v>
      </c>
      <c r="J17">
        <v>1</v>
      </c>
      <c r="K17" t="s">
        <v>31</v>
      </c>
      <c r="L17" t="s">
        <v>32</v>
      </c>
      <c r="M17" t="s">
        <v>503</v>
      </c>
      <c r="N17" t="s">
        <v>483</v>
      </c>
      <c r="O17" t="s">
        <v>34</v>
      </c>
      <c r="P17" t="s">
        <v>35</v>
      </c>
      <c r="Q17" t="s">
        <v>36</v>
      </c>
      <c r="R17" t="s">
        <v>37</v>
      </c>
      <c r="S17" t="s">
        <v>38</v>
      </c>
      <c r="T17" t="s">
        <v>44</v>
      </c>
      <c r="U17" t="s">
        <v>498</v>
      </c>
      <c r="V17" t="s">
        <v>38</v>
      </c>
      <c r="W17" t="s">
        <v>535</v>
      </c>
      <c r="X17" t="s">
        <v>535</v>
      </c>
    </row>
    <row r="18" spans="1:24" ht="24.75" customHeight="1" x14ac:dyDescent="0.35">
      <c r="A18" t="s">
        <v>96</v>
      </c>
      <c r="B18" t="s">
        <v>536</v>
      </c>
      <c r="C18" t="s">
        <v>48</v>
      </c>
      <c r="D18" t="s">
        <v>76</v>
      </c>
      <c r="E18" t="s">
        <v>61</v>
      </c>
      <c r="F18" t="s">
        <v>62</v>
      </c>
      <c r="G18" t="s">
        <v>483</v>
      </c>
      <c r="H18" t="s">
        <v>523</v>
      </c>
      <c r="I18" t="s">
        <v>30</v>
      </c>
      <c r="J18">
        <v>2</v>
      </c>
      <c r="K18" t="s">
        <v>31</v>
      </c>
      <c r="L18" t="s">
        <v>32</v>
      </c>
      <c r="M18" t="s">
        <v>537</v>
      </c>
      <c r="N18" t="s">
        <v>483</v>
      </c>
      <c r="O18" t="s">
        <v>494</v>
      </c>
      <c r="P18" t="s">
        <v>35</v>
      </c>
      <c r="Q18" t="s">
        <v>36</v>
      </c>
      <c r="R18" t="s">
        <v>37</v>
      </c>
      <c r="S18" t="s">
        <v>38</v>
      </c>
      <c r="T18" t="s">
        <v>44</v>
      </c>
      <c r="U18" t="s">
        <v>45</v>
      </c>
      <c r="V18" t="s">
        <v>44</v>
      </c>
      <c r="W18" t="s">
        <v>499</v>
      </c>
      <c r="X18" t="s">
        <v>499</v>
      </c>
    </row>
    <row r="19" spans="1:24" ht="24.75" customHeight="1" x14ac:dyDescent="0.35">
      <c r="A19" t="s">
        <v>98</v>
      </c>
      <c r="B19" t="s">
        <v>538</v>
      </c>
      <c r="C19" t="s">
        <v>42</v>
      </c>
      <c r="D19" t="s">
        <v>100</v>
      </c>
      <c r="E19" t="s">
        <v>27</v>
      </c>
      <c r="F19" t="s">
        <v>28</v>
      </c>
      <c r="G19" t="s">
        <v>539</v>
      </c>
      <c r="H19" t="s">
        <v>529</v>
      </c>
      <c r="I19" t="s">
        <v>51</v>
      </c>
      <c r="J19">
        <v>3</v>
      </c>
      <c r="K19" t="s">
        <v>51</v>
      </c>
      <c r="L19" t="s">
        <v>52</v>
      </c>
      <c r="M19" t="s">
        <v>33</v>
      </c>
      <c r="N19" t="s">
        <v>52</v>
      </c>
      <c r="O19" t="s">
        <v>494</v>
      </c>
      <c r="P19" t="s">
        <v>35</v>
      </c>
      <c r="Q19" t="s">
        <v>43</v>
      </c>
      <c r="R19" t="s">
        <v>101</v>
      </c>
      <c r="S19" t="s">
        <v>38</v>
      </c>
      <c r="T19" t="s">
        <v>44</v>
      </c>
      <c r="U19" t="s">
        <v>498</v>
      </c>
      <c r="V19" t="s">
        <v>44</v>
      </c>
      <c r="W19" t="s">
        <v>490</v>
      </c>
      <c r="X19" t="s">
        <v>532</v>
      </c>
    </row>
    <row r="20" spans="1:24" ht="24.75" customHeight="1" x14ac:dyDescent="0.35">
      <c r="A20" t="s">
        <v>102</v>
      </c>
      <c r="B20"/>
      <c r="C20" t="s">
        <v>25</v>
      </c>
      <c r="D20" t="s">
        <v>26</v>
      </c>
      <c r="E20" t="s">
        <v>27</v>
      </c>
      <c r="F20" t="s">
        <v>28</v>
      </c>
      <c r="G20" t="s">
        <v>483</v>
      </c>
      <c r="H20" t="s">
        <v>486</v>
      </c>
      <c r="I20" t="s">
        <v>51</v>
      </c>
      <c r="J20">
        <v>3</v>
      </c>
      <c r="K20" t="s">
        <v>51</v>
      </c>
      <c r="L20" t="s">
        <v>32</v>
      </c>
      <c r="M20" t="s">
        <v>540</v>
      </c>
      <c r="N20" t="s">
        <v>483</v>
      </c>
      <c r="O20" t="s">
        <v>57</v>
      </c>
      <c r="P20" t="s">
        <v>35</v>
      </c>
      <c r="Q20" t="s">
        <v>43</v>
      </c>
      <c r="R20" t="s">
        <v>37</v>
      </c>
      <c r="S20" t="s">
        <v>38</v>
      </c>
      <c r="T20" t="s">
        <v>38</v>
      </c>
      <c r="U20" t="s">
        <v>498</v>
      </c>
      <c r="V20" t="s">
        <v>44</v>
      </c>
      <c r="W20" t="s">
        <v>500</v>
      </c>
      <c r="X20" t="s">
        <v>490</v>
      </c>
    </row>
    <row r="21" spans="1:24" ht="24.75" customHeight="1" x14ac:dyDescent="0.35">
      <c r="A21" t="s">
        <v>104</v>
      </c>
      <c r="B21"/>
      <c r="C21" t="s">
        <v>106</v>
      </c>
      <c r="D21" t="s">
        <v>26</v>
      </c>
      <c r="E21" t="s">
        <v>27</v>
      </c>
      <c r="F21" t="s">
        <v>28</v>
      </c>
      <c r="G21" t="s">
        <v>483</v>
      </c>
      <c r="H21" t="s">
        <v>29</v>
      </c>
      <c r="I21" t="s">
        <v>487</v>
      </c>
      <c r="J21">
        <v>2</v>
      </c>
      <c r="K21" t="s">
        <v>31</v>
      </c>
      <c r="L21" t="s">
        <v>32</v>
      </c>
      <c r="M21" t="s">
        <v>517</v>
      </c>
      <c r="N21" t="s">
        <v>32</v>
      </c>
      <c r="O21" t="s">
        <v>57</v>
      </c>
      <c r="P21" t="s">
        <v>497</v>
      </c>
      <c r="Q21" t="s">
        <v>36</v>
      </c>
      <c r="R21" t="s">
        <v>101</v>
      </c>
      <c r="S21" t="s">
        <v>38</v>
      </c>
      <c r="T21" t="s">
        <v>38</v>
      </c>
      <c r="U21" t="s">
        <v>39</v>
      </c>
      <c r="V21" t="s">
        <v>44</v>
      </c>
      <c r="W21" t="s">
        <v>495</v>
      </c>
      <c r="X21" t="s">
        <v>495</v>
      </c>
    </row>
    <row r="22" spans="1:24" ht="24.75" customHeight="1" x14ac:dyDescent="0.35">
      <c r="A22" t="s">
        <v>107</v>
      </c>
      <c r="B22"/>
      <c r="C22" t="s">
        <v>42</v>
      </c>
      <c r="D22" t="s">
        <v>109</v>
      </c>
      <c r="E22" t="s">
        <v>27</v>
      </c>
      <c r="F22" t="s">
        <v>66</v>
      </c>
      <c r="G22" t="s">
        <v>483</v>
      </c>
      <c r="H22" t="s">
        <v>541</v>
      </c>
      <c r="I22" t="s">
        <v>30</v>
      </c>
      <c r="J22">
        <v>2</v>
      </c>
      <c r="K22" t="s">
        <v>110</v>
      </c>
      <c r="L22" t="s">
        <v>52</v>
      </c>
      <c r="M22" t="s">
        <v>542</v>
      </c>
      <c r="N22" t="s">
        <v>483</v>
      </c>
      <c r="O22" t="s">
        <v>494</v>
      </c>
      <c r="P22" t="s">
        <v>497</v>
      </c>
      <c r="Q22" t="s">
        <v>43</v>
      </c>
      <c r="R22" t="s">
        <v>101</v>
      </c>
      <c r="S22" t="s">
        <v>38</v>
      </c>
      <c r="T22" t="s">
        <v>38</v>
      </c>
      <c r="U22" t="s">
        <v>498</v>
      </c>
      <c r="V22" t="s">
        <v>38</v>
      </c>
      <c r="W22" t="s">
        <v>490</v>
      </c>
      <c r="X22" t="s">
        <v>543</v>
      </c>
    </row>
    <row r="23" spans="1:24" ht="24.75" customHeight="1" x14ac:dyDescent="0.35">
      <c r="A23" t="s">
        <v>111</v>
      </c>
      <c r="B23"/>
      <c r="C23" t="s">
        <v>42</v>
      </c>
      <c r="D23" t="s">
        <v>49</v>
      </c>
      <c r="E23" t="s">
        <v>27</v>
      </c>
      <c r="F23" t="s">
        <v>28</v>
      </c>
      <c r="G23" t="s">
        <v>483</v>
      </c>
      <c r="H23" t="s">
        <v>544</v>
      </c>
      <c r="I23" t="s">
        <v>30</v>
      </c>
      <c r="J23">
        <v>2</v>
      </c>
      <c r="K23" t="s">
        <v>31</v>
      </c>
      <c r="L23" t="s">
        <v>32</v>
      </c>
      <c r="M23" t="s">
        <v>33</v>
      </c>
      <c r="N23" t="s">
        <v>32</v>
      </c>
      <c r="O23" t="s">
        <v>494</v>
      </c>
      <c r="P23" t="s">
        <v>35</v>
      </c>
      <c r="Q23" t="s">
        <v>43</v>
      </c>
      <c r="R23" t="s">
        <v>37</v>
      </c>
      <c r="S23" t="s">
        <v>38</v>
      </c>
      <c r="T23" t="s">
        <v>38</v>
      </c>
      <c r="U23" t="s">
        <v>498</v>
      </c>
      <c r="V23" t="s">
        <v>38</v>
      </c>
      <c r="W23" t="s">
        <v>507</v>
      </c>
      <c r="X23" t="s">
        <v>507</v>
      </c>
    </row>
    <row r="24" spans="1:24" ht="24.75" customHeight="1" x14ac:dyDescent="0.35">
      <c r="A24" t="s">
        <v>113</v>
      </c>
      <c r="B24"/>
      <c r="C24" t="s">
        <v>42</v>
      </c>
      <c r="D24" t="s">
        <v>49</v>
      </c>
      <c r="E24" t="s">
        <v>27</v>
      </c>
      <c r="F24" t="s">
        <v>28</v>
      </c>
      <c r="G24" t="s">
        <v>483</v>
      </c>
      <c r="H24" t="s">
        <v>29</v>
      </c>
      <c r="I24" t="s">
        <v>51</v>
      </c>
      <c r="J24">
        <v>4</v>
      </c>
      <c r="K24" t="s">
        <v>51</v>
      </c>
      <c r="L24" t="s">
        <v>32</v>
      </c>
      <c r="M24" t="s">
        <v>33</v>
      </c>
      <c r="N24" t="s">
        <v>32</v>
      </c>
      <c r="O24" t="s">
        <v>57</v>
      </c>
      <c r="P24" t="s">
        <v>497</v>
      </c>
      <c r="Q24" t="s">
        <v>43</v>
      </c>
      <c r="R24" t="s">
        <v>53</v>
      </c>
      <c r="S24" t="s">
        <v>38</v>
      </c>
      <c r="T24" t="s">
        <v>38</v>
      </c>
      <c r="U24" t="s">
        <v>498</v>
      </c>
      <c r="V24" t="s">
        <v>38</v>
      </c>
      <c r="W24" t="s">
        <v>499</v>
      </c>
      <c r="X24" t="s">
        <v>499</v>
      </c>
    </row>
    <row r="25" spans="1:24" ht="24.75" customHeight="1" x14ac:dyDescent="0.35">
      <c r="A25" t="s">
        <v>115</v>
      </c>
      <c r="B25"/>
      <c r="C25" t="s">
        <v>48</v>
      </c>
      <c r="D25" t="s">
        <v>26</v>
      </c>
      <c r="E25" t="s">
        <v>27</v>
      </c>
      <c r="F25" t="s">
        <v>28</v>
      </c>
      <c r="G25" t="s">
        <v>483</v>
      </c>
      <c r="H25" t="s">
        <v>545</v>
      </c>
      <c r="I25" t="s">
        <v>487</v>
      </c>
      <c r="J25">
        <v>2</v>
      </c>
      <c r="K25" t="s">
        <v>488</v>
      </c>
      <c r="L25" t="s">
        <v>67</v>
      </c>
      <c r="M25" t="s">
        <v>503</v>
      </c>
      <c r="N25" t="s">
        <v>483</v>
      </c>
      <c r="O25" t="s">
        <v>34</v>
      </c>
      <c r="P25" t="s">
        <v>35</v>
      </c>
      <c r="Q25" t="s">
        <v>546</v>
      </c>
      <c r="R25" t="s">
        <v>37</v>
      </c>
      <c r="S25" t="s">
        <v>38</v>
      </c>
      <c r="T25" t="s">
        <v>38</v>
      </c>
      <c r="U25" t="s">
        <v>39</v>
      </c>
      <c r="V25" t="s">
        <v>38</v>
      </c>
      <c r="W25" t="s">
        <v>499</v>
      </c>
      <c r="X25" t="s">
        <v>547</v>
      </c>
    </row>
    <row r="26" spans="1:24" ht="24.75" customHeight="1" x14ac:dyDescent="0.35">
      <c r="A26" t="s">
        <v>117</v>
      </c>
      <c r="B26" t="s">
        <v>548</v>
      </c>
      <c r="C26" t="s">
        <v>42</v>
      </c>
      <c r="D26" t="s">
        <v>26</v>
      </c>
      <c r="E26" t="s">
        <v>27</v>
      </c>
      <c r="F26" t="s">
        <v>66</v>
      </c>
      <c r="G26" t="s">
        <v>483</v>
      </c>
      <c r="H26" t="s">
        <v>505</v>
      </c>
      <c r="I26" t="s">
        <v>81</v>
      </c>
      <c r="J26">
        <v>3</v>
      </c>
      <c r="K26" t="s">
        <v>82</v>
      </c>
      <c r="L26" t="s">
        <v>32</v>
      </c>
      <c r="M26" t="s">
        <v>33</v>
      </c>
      <c r="N26" t="s">
        <v>32</v>
      </c>
      <c r="O26" t="s">
        <v>34</v>
      </c>
      <c r="P26" t="s">
        <v>497</v>
      </c>
      <c r="Q26" t="s">
        <v>43</v>
      </c>
      <c r="R26" t="s">
        <v>53</v>
      </c>
      <c r="S26" t="s">
        <v>38</v>
      </c>
      <c r="T26" t="s">
        <v>38</v>
      </c>
      <c r="U26" t="s">
        <v>39</v>
      </c>
      <c r="V26" t="s">
        <v>38</v>
      </c>
      <c r="W26" t="s">
        <v>532</v>
      </c>
      <c r="X26" t="s">
        <v>530</v>
      </c>
    </row>
    <row r="27" spans="1:24" ht="24.75" customHeight="1" x14ac:dyDescent="0.35">
      <c r="A27" t="s">
        <v>119</v>
      </c>
      <c r="B27" t="s">
        <v>549</v>
      </c>
      <c r="C27" t="s">
        <v>48</v>
      </c>
      <c r="D27" t="s">
        <v>26</v>
      </c>
      <c r="E27" t="s">
        <v>50</v>
      </c>
      <c r="F27" t="s">
        <v>28</v>
      </c>
      <c r="G27" t="s">
        <v>483</v>
      </c>
      <c r="H27" t="s">
        <v>121</v>
      </c>
      <c r="I27" t="s">
        <v>30</v>
      </c>
      <c r="J27">
        <v>2</v>
      </c>
      <c r="K27" t="s">
        <v>31</v>
      </c>
      <c r="L27" t="s">
        <v>32</v>
      </c>
      <c r="M27" t="s">
        <v>33</v>
      </c>
      <c r="N27" t="s">
        <v>483</v>
      </c>
      <c r="O27" t="s">
        <v>34</v>
      </c>
      <c r="P27" t="s">
        <v>35</v>
      </c>
      <c r="Q27" t="s">
        <v>36</v>
      </c>
      <c r="R27" t="s">
        <v>37</v>
      </c>
      <c r="S27" t="s">
        <v>38</v>
      </c>
      <c r="T27" t="s">
        <v>38</v>
      </c>
      <c r="U27" t="s">
        <v>498</v>
      </c>
      <c r="V27" t="s">
        <v>38</v>
      </c>
      <c r="W27" t="s">
        <v>490</v>
      </c>
      <c r="X27" t="s">
        <v>490</v>
      </c>
    </row>
    <row r="28" spans="1:24" ht="24.75" customHeight="1" x14ac:dyDescent="0.35">
      <c r="A28" t="s">
        <v>122</v>
      </c>
      <c r="B28" t="s">
        <v>550</v>
      </c>
      <c r="C28" t="s">
        <v>48</v>
      </c>
      <c r="D28" t="s">
        <v>49</v>
      </c>
      <c r="E28" t="s">
        <v>50</v>
      </c>
      <c r="F28" t="s">
        <v>28</v>
      </c>
      <c r="G28" t="s">
        <v>483</v>
      </c>
      <c r="H28" t="s">
        <v>544</v>
      </c>
      <c r="I28" t="s">
        <v>81</v>
      </c>
      <c r="J28">
        <v>3</v>
      </c>
      <c r="K28" t="s">
        <v>82</v>
      </c>
      <c r="L28" t="s">
        <v>32</v>
      </c>
      <c r="M28" t="s">
        <v>540</v>
      </c>
      <c r="N28" t="s">
        <v>32</v>
      </c>
      <c r="O28" t="s">
        <v>494</v>
      </c>
      <c r="P28" t="s">
        <v>35</v>
      </c>
      <c r="Q28" t="s">
        <v>68</v>
      </c>
      <c r="R28" t="s">
        <v>53</v>
      </c>
      <c r="S28" t="s">
        <v>38</v>
      </c>
      <c r="T28" t="s">
        <v>38</v>
      </c>
      <c r="U28" t="s">
        <v>498</v>
      </c>
      <c r="V28" t="s">
        <v>38</v>
      </c>
      <c r="W28" t="s">
        <v>499</v>
      </c>
      <c r="X28" t="s">
        <v>499</v>
      </c>
    </row>
    <row r="29" spans="1:24" ht="24.75" customHeight="1" x14ac:dyDescent="0.35">
      <c r="A29" t="s">
        <v>124</v>
      </c>
      <c r="B29" t="s">
        <v>551</v>
      </c>
      <c r="C29" t="s">
        <v>25</v>
      </c>
      <c r="D29" t="s">
        <v>126</v>
      </c>
      <c r="E29" t="s">
        <v>27</v>
      </c>
      <c r="F29" t="s">
        <v>28</v>
      </c>
      <c r="G29" t="s">
        <v>32</v>
      </c>
      <c r="H29" t="s">
        <v>127</v>
      </c>
      <c r="I29" t="s">
        <v>51</v>
      </c>
      <c r="J29">
        <v>3</v>
      </c>
      <c r="K29" t="s">
        <v>31</v>
      </c>
      <c r="L29" t="s">
        <v>52</v>
      </c>
      <c r="M29" t="s">
        <v>514</v>
      </c>
      <c r="N29" t="s">
        <v>483</v>
      </c>
      <c r="O29" t="s">
        <v>57</v>
      </c>
      <c r="P29" t="s">
        <v>35</v>
      </c>
      <c r="Q29" t="s">
        <v>36</v>
      </c>
      <c r="R29" t="s">
        <v>101</v>
      </c>
      <c r="S29" t="s">
        <v>44</v>
      </c>
      <c r="T29" t="s">
        <v>44</v>
      </c>
      <c r="U29" t="s">
        <v>498</v>
      </c>
      <c r="V29" t="s">
        <v>44</v>
      </c>
      <c r="W29" t="s">
        <v>530</v>
      </c>
      <c r="X29" t="s">
        <v>530</v>
      </c>
    </row>
    <row r="30" spans="1:24" ht="24.75" customHeight="1" x14ac:dyDescent="0.35">
      <c r="A30" t="s">
        <v>128</v>
      </c>
      <c r="B30" t="s">
        <v>552</v>
      </c>
      <c r="C30" t="s">
        <v>25</v>
      </c>
      <c r="D30" t="s">
        <v>26</v>
      </c>
      <c r="E30" t="s">
        <v>50</v>
      </c>
      <c r="F30" t="s">
        <v>66</v>
      </c>
      <c r="G30" t="s">
        <v>483</v>
      </c>
      <c r="H30" t="s">
        <v>523</v>
      </c>
      <c r="I30" t="s">
        <v>51</v>
      </c>
      <c r="J30">
        <v>2</v>
      </c>
      <c r="K30" t="s">
        <v>51</v>
      </c>
      <c r="L30" t="s">
        <v>32</v>
      </c>
      <c r="M30" t="s">
        <v>503</v>
      </c>
      <c r="N30" t="s">
        <v>32</v>
      </c>
      <c r="O30" t="s">
        <v>57</v>
      </c>
      <c r="P30" t="s">
        <v>35</v>
      </c>
      <c r="Q30" t="s">
        <v>43</v>
      </c>
      <c r="R30" t="s">
        <v>37</v>
      </c>
      <c r="S30" t="s">
        <v>38</v>
      </c>
      <c r="T30" t="s">
        <v>38</v>
      </c>
      <c r="U30" t="s">
        <v>39</v>
      </c>
      <c r="V30" t="s">
        <v>38</v>
      </c>
      <c r="W30" t="s">
        <v>499</v>
      </c>
      <c r="X30" t="s">
        <v>499</v>
      </c>
    </row>
    <row r="31" spans="1:24" ht="24.75" customHeight="1" x14ac:dyDescent="0.35">
      <c r="A31" t="s">
        <v>130</v>
      </c>
      <c r="B31" t="s">
        <v>553</v>
      </c>
      <c r="C31" t="s">
        <v>42</v>
      </c>
      <c r="D31" t="s">
        <v>49</v>
      </c>
      <c r="E31" t="s">
        <v>27</v>
      </c>
      <c r="F31" t="s">
        <v>62</v>
      </c>
      <c r="G31" t="s">
        <v>483</v>
      </c>
      <c r="H31" t="s">
        <v>127</v>
      </c>
      <c r="I31" t="s">
        <v>487</v>
      </c>
      <c r="J31">
        <v>1</v>
      </c>
      <c r="K31" t="s">
        <v>488</v>
      </c>
      <c r="L31" t="s">
        <v>67</v>
      </c>
      <c r="M31" t="s">
        <v>33</v>
      </c>
      <c r="N31" t="s">
        <v>483</v>
      </c>
      <c r="O31" t="s">
        <v>494</v>
      </c>
      <c r="P31" t="s">
        <v>35</v>
      </c>
      <c r="Q31" t="s">
        <v>546</v>
      </c>
      <c r="R31" t="s">
        <v>37</v>
      </c>
      <c r="S31" t="s">
        <v>38</v>
      </c>
      <c r="T31" t="s">
        <v>38</v>
      </c>
      <c r="U31" t="s">
        <v>498</v>
      </c>
      <c r="V31" t="s">
        <v>38</v>
      </c>
      <c r="W31" t="s">
        <v>530</v>
      </c>
      <c r="X31" t="s">
        <v>530</v>
      </c>
    </row>
    <row r="32" spans="1:24" ht="24.75" customHeight="1" x14ac:dyDescent="0.35">
      <c r="A32" t="s">
        <v>132</v>
      </c>
      <c r="B32" t="s">
        <v>554</v>
      </c>
      <c r="C32" t="s">
        <v>42</v>
      </c>
      <c r="D32" t="s">
        <v>134</v>
      </c>
      <c r="E32" t="s">
        <v>27</v>
      </c>
      <c r="F32" t="s">
        <v>62</v>
      </c>
      <c r="G32" t="s">
        <v>483</v>
      </c>
      <c r="H32" t="s">
        <v>545</v>
      </c>
      <c r="I32" t="s">
        <v>51</v>
      </c>
      <c r="J32">
        <v>3</v>
      </c>
      <c r="K32" t="s">
        <v>51</v>
      </c>
      <c r="L32" t="s">
        <v>52</v>
      </c>
      <c r="M32" t="s">
        <v>135</v>
      </c>
      <c r="N32" t="s">
        <v>52</v>
      </c>
      <c r="O32" t="s">
        <v>494</v>
      </c>
      <c r="P32" t="s">
        <v>555</v>
      </c>
      <c r="Q32" t="s">
        <v>43</v>
      </c>
      <c r="R32" t="s">
        <v>101</v>
      </c>
      <c r="S32" t="s">
        <v>38</v>
      </c>
      <c r="T32" t="s">
        <v>44</v>
      </c>
      <c r="U32" t="s">
        <v>511</v>
      </c>
      <c r="V32" t="s">
        <v>44</v>
      </c>
      <c r="W32" t="s">
        <v>507</v>
      </c>
      <c r="X32" t="s">
        <v>507</v>
      </c>
    </row>
    <row r="33" spans="1:24" ht="24.75" customHeight="1" x14ac:dyDescent="0.35">
      <c r="A33" t="s">
        <v>136</v>
      </c>
      <c r="B33" t="s">
        <v>556</v>
      </c>
      <c r="C33" t="s">
        <v>42</v>
      </c>
      <c r="D33" t="s">
        <v>109</v>
      </c>
      <c r="E33" t="s">
        <v>27</v>
      </c>
      <c r="F33" t="s">
        <v>28</v>
      </c>
      <c r="G33" t="s">
        <v>483</v>
      </c>
      <c r="H33" t="s">
        <v>138</v>
      </c>
      <c r="I33" t="s">
        <v>487</v>
      </c>
      <c r="J33">
        <v>3</v>
      </c>
      <c r="K33" t="s">
        <v>82</v>
      </c>
      <c r="L33" t="s">
        <v>67</v>
      </c>
      <c r="M33" t="s">
        <v>33</v>
      </c>
      <c r="N33" t="s">
        <v>483</v>
      </c>
      <c r="O33" t="s">
        <v>34</v>
      </c>
      <c r="P33" t="s">
        <v>497</v>
      </c>
      <c r="Q33" t="s">
        <v>43</v>
      </c>
      <c r="R33" t="s">
        <v>37</v>
      </c>
      <c r="S33" t="s">
        <v>38</v>
      </c>
      <c r="T33" t="s">
        <v>38</v>
      </c>
      <c r="U33" t="s">
        <v>39</v>
      </c>
      <c r="V33" t="s">
        <v>38</v>
      </c>
      <c r="W33" t="s">
        <v>557</v>
      </c>
      <c r="X33" t="s">
        <v>557</v>
      </c>
    </row>
    <row r="34" spans="1:24" ht="24.75" customHeight="1" x14ac:dyDescent="0.35">
      <c r="A34" t="s">
        <v>139</v>
      </c>
      <c r="B34" t="s">
        <v>558</v>
      </c>
      <c r="C34" t="s">
        <v>106</v>
      </c>
      <c r="D34" t="s">
        <v>65</v>
      </c>
      <c r="E34" t="s">
        <v>27</v>
      </c>
      <c r="F34" t="s">
        <v>28</v>
      </c>
      <c r="G34" t="s">
        <v>483</v>
      </c>
      <c r="H34" t="s">
        <v>559</v>
      </c>
      <c r="I34" t="s">
        <v>30</v>
      </c>
      <c r="J34">
        <v>3</v>
      </c>
      <c r="K34" t="s">
        <v>31</v>
      </c>
      <c r="L34" t="s">
        <v>32</v>
      </c>
      <c r="M34" t="s">
        <v>493</v>
      </c>
      <c r="N34" t="s">
        <v>483</v>
      </c>
      <c r="O34" t="s">
        <v>141</v>
      </c>
      <c r="P34" t="s">
        <v>497</v>
      </c>
      <c r="Q34" t="s">
        <v>36</v>
      </c>
      <c r="R34" t="s">
        <v>37</v>
      </c>
      <c r="S34" t="s">
        <v>38</v>
      </c>
      <c r="T34" t="s">
        <v>44</v>
      </c>
      <c r="U34" t="s">
        <v>498</v>
      </c>
      <c r="V34" t="s">
        <v>38</v>
      </c>
      <c r="W34" t="s">
        <v>495</v>
      </c>
      <c r="X34" t="s">
        <v>543</v>
      </c>
    </row>
    <row r="35" spans="1:24" ht="24.75" customHeight="1" x14ac:dyDescent="0.35">
      <c r="A35" t="s">
        <v>142</v>
      </c>
      <c r="B35" t="s">
        <v>560</v>
      </c>
      <c r="C35" t="s">
        <v>48</v>
      </c>
      <c r="D35" t="s">
        <v>26</v>
      </c>
      <c r="E35" t="s">
        <v>27</v>
      </c>
      <c r="F35" t="s">
        <v>62</v>
      </c>
      <c r="G35" t="s">
        <v>483</v>
      </c>
      <c r="H35" t="s">
        <v>544</v>
      </c>
      <c r="I35" t="s">
        <v>81</v>
      </c>
      <c r="J35">
        <v>3</v>
      </c>
      <c r="K35" t="s">
        <v>51</v>
      </c>
      <c r="L35" t="s">
        <v>52</v>
      </c>
      <c r="M35" t="s">
        <v>33</v>
      </c>
      <c r="N35" t="s">
        <v>52</v>
      </c>
      <c r="O35" t="s">
        <v>494</v>
      </c>
      <c r="P35" t="s">
        <v>35</v>
      </c>
      <c r="Q35" t="s">
        <v>43</v>
      </c>
      <c r="R35" t="s">
        <v>53</v>
      </c>
      <c r="S35" t="s">
        <v>38</v>
      </c>
      <c r="T35" t="s">
        <v>38</v>
      </c>
      <c r="U35" t="s">
        <v>39</v>
      </c>
      <c r="V35" t="s">
        <v>38</v>
      </c>
      <c r="W35" t="s">
        <v>500</v>
      </c>
      <c r="X35" t="s">
        <v>165</v>
      </c>
    </row>
    <row r="36" spans="1:24" ht="24.75" customHeight="1" x14ac:dyDescent="0.35">
      <c r="A36" t="s">
        <v>144</v>
      </c>
      <c r="B36" t="s">
        <v>561</v>
      </c>
      <c r="C36" t="s">
        <v>42</v>
      </c>
      <c r="D36" t="s">
        <v>26</v>
      </c>
      <c r="E36" t="s">
        <v>27</v>
      </c>
      <c r="F36" t="s">
        <v>28</v>
      </c>
      <c r="G36" t="s">
        <v>483</v>
      </c>
      <c r="H36" t="s">
        <v>562</v>
      </c>
      <c r="I36" t="s">
        <v>51</v>
      </c>
      <c r="J36">
        <v>3</v>
      </c>
      <c r="K36" t="s">
        <v>31</v>
      </c>
      <c r="L36" t="s">
        <v>32</v>
      </c>
      <c r="M36" t="s">
        <v>563</v>
      </c>
      <c r="N36" t="s">
        <v>146</v>
      </c>
      <c r="O36" t="s">
        <v>494</v>
      </c>
      <c r="P36" t="s">
        <v>497</v>
      </c>
      <c r="Q36" t="s">
        <v>43</v>
      </c>
      <c r="R36" t="s">
        <v>37</v>
      </c>
      <c r="S36" t="s">
        <v>38</v>
      </c>
      <c r="T36" t="s">
        <v>38</v>
      </c>
      <c r="U36" t="s">
        <v>564</v>
      </c>
      <c r="V36" t="s">
        <v>38</v>
      </c>
      <c r="W36" t="s">
        <v>507</v>
      </c>
      <c r="X36" t="s">
        <v>495</v>
      </c>
    </row>
    <row r="37" spans="1:24" ht="24.75" customHeight="1" x14ac:dyDescent="0.35">
      <c r="A37" t="s">
        <v>147</v>
      </c>
      <c r="B37" t="s">
        <v>565</v>
      </c>
      <c r="C37" t="s">
        <v>48</v>
      </c>
      <c r="D37" t="s">
        <v>49</v>
      </c>
      <c r="E37" t="s">
        <v>27</v>
      </c>
      <c r="F37" t="s">
        <v>28</v>
      </c>
      <c r="G37" t="s">
        <v>483</v>
      </c>
      <c r="H37" t="s">
        <v>529</v>
      </c>
      <c r="I37" t="s">
        <v>56</v>
      </c>
      <c r="J37">
        <v>3</v>
      </c>
      <c r="K37" t="s">
        <v>51</v>
      </c>
      <c r="L37" t="s">
        <v>32</v>
      </c>
      <c r="M37" t="s">
        <v>521</v>
      </c>
      <c r="N37" t="s">
        <v>32</v>
      </c>
      <c r="O37" t="s">
        <v>494</v>
      </c>
      <c r="P37" t="s">
        <v>497</v>
      </c>
      <c r="Q37" t="s">
        <v>43</v>
      </c>
      <c r="R37" t="s">
        <v>37</v>
      </c>
      <c r="S37" t="s">
        <v>38</v>
      </c>
      <c r="T37" t="s">
        <v>38</v>
      </c>
      <c r="U37" t="s">
        <v>39</v>
      </c>
      <c r="V37" t="s">
        <v>38</v>
      </c>
      <c r="W37" t="s">
        <v>499</v>
      </c>
      <c r="X37" t="s">
        <v>499</v>
      </c>
    </row>
    <row r="38" spans="1:24" ht="24.75" customHeight="1" x14ac:dyDescent="0.35">
      <c r="A38" t="s">
        <v>149</v>
      </c>
      <c r="B38" t="s">
        <v>566</v>
      </c>
      <c r="C38" t="s">
        <v>48</v>
      </c>
      <c r="D38" t="s">
        <v>26</v>
      </c>
      <c r="E38" t="s">
        <v>27</v>
      </c>
      <c r="F38" t="s">
        <v>66</v>
      </c>
      <c r="G38" t="s">
        <v>483</v>
      </c>
      <c r="H38" t="s">
        <v>544</v>
      </c>
      <c r="I38" t="s">
        <v>30</v>
      </c>
      <c r="J38">
        <v>3</v>
      </c>
      <c r="K38" t="s">
        <v>51</v>
      </c>
      <c r="L38" t="s">
        <v>32</v>
      </c>
      <c r="M38" t="s">
        <v>567</v>
      </c>
      <c r="N38" t="s">
        <v>32</v>
      </c>
      <c r="O38" t="s">
        <v>494</v>
      </c>
      <c r="P38" t="s">
        <v>527</v>
      </c>
      <c r="Q38" t="s">
        <v>43</v>
      </c>
      <c r="R38" t="s">
        <v>53</v>
      </c>
      <c r="S38" t="s">
        <v>38</v>
      </c>
      <c r="T38" t="s">
        <v>38</v>
      </c>
      <c r="U38" t="s">
        <v>511</v>
      </c>
      <c r="V38" t="s">
        <v>38</v>
      </c>
      <c r="W38" t="s">
        <v>499</v>
      </c>
      <c r="X38" t="s">
        <v>499</v>
      </c>
    </row>
    <row r="39" spans="1:24" ht="24.75" customHeight="1" x14ac:dyDescent="0.35">
      <c r="A39" t="s">
        <v>151</v>
      </c>
      <c r="B39" t="s">
        <v>568</v>
      </c>
      <c r="C39" t="s">
        <v>42</v>
      </c>
      <c r="D39" t="s">
        <v>26</v>
      </c>
      <c r="E39" t="s">
        <v>27</v>
      </c>
      <c r="F39" t="s">
        <v>66</v>
      </c>
      <c r="G39" t="s">
        <v>483</v>
      </c>
      <c r="H39" t="s">
        <v>569</v>
      </c>
      <c r="I39" t="s">
        <v>51</v>
      </c>
      <c r="J39">
        <v>3</v>
      </c>
      <c r="K39" t="s">
        <v>51</v>
      </c>
      <c r="L39" t="s">
        <v>153</v>
      </c>
      <c r="M39" t="s">
        <v>33</v>
      </c>
      <c r="N39" t="s">
        <v>483</v>
      </c>
      <c r="O39" t="s">
        <v>494</v>
      </c>
      <c r="P39" t="s">
        <v>570</v>
      </c>
      <c r="Q39" t="s">
        <v>43</v>
      </c>
      <c r="R39" t="s">
        <v>53</v>
      </c>
      <c r="S39" t="s">
        <v>38</v>
      </c>
      <c r="T39" t="s">
        <v>38</v>
      </c>
      <c r="U39" t="s">
        <v>498</v>
      </c>
      <c r="V39" t="s">
        <v>38</v>
      </c>
      <c r="W39" t="s">
        <v>495</v>
      </c>
      <c r="X39" t="s">
        <v>495</v>
      </c>
    </row>
    <row r="40" spans="1:24" ht="24.75" customHeight="1" x14ac:dyDescent="0.35">
      <c r="A40" t="s">
        <v>154</v>
      </c>
      <c r="B40" t="s">
        <v>571</v>
      </c>
      <c r="C40" t="s">
        <v>42</v>
      </c>
      <c r="D40" t="s">
        <v>26</v>
      </c>
      <c r="E40" t="s">
        <v>27</v>
      </c>
      <c r="F40" t="s">
        <v>28</v>
      </c>
      <c r="G40" t="s">
        <v>483</v>
      </c>
      <c r="H40" t="s">
        <v>523</v>
      </c>
      <c r="I40" t="s">
        <v>51</v>
      </c>
      <c r="J40">
        <v>2</v>
      </c>
      <c r="K40" t="s">
        <v>51</v>
      </c>
      <c r="L40" t="s">
        <v>32</v>
      </c>
      <c r="M40" t="s">
        <v>524</v>
      </c>
      <c r="N40" t="s">
        <v>146</v>
      </c>
      <c r="O40" t="s">
        <v>57</v>
      </c>
      <c r="P40" t="s">
        <v>572</v>
      </c>
      <c r="Q40" t="s">
        <v>43</v>
      </c>
      <c r="R40" t="s">
        <v>37</v>
      </c>
      <c r="S40" t="s">
        <v>38</v>
      </c>
      <c r="T40" t="s">
        <v>38</v>
      </c>
      <c r="U40" t="s">
        <v>498</v>
      </c>
      <c r="V40" t="s">
        <v>38</v>
      </c>
      <c r="W40" t="s">
        <v>490</v>
      </c>
      <c r="X40" t="s">
        <v>543</v>
      </c>
    </row>
    <row r="41" spans="1:24" ht="24.75" customHeight="1" x14ac:dyDescent="0.35">
      <c r="A41" t="s">
        <v>156</v>
      </c>
      <c r="B41" t="s">
        <v>573</v>
      </c>
      <c r="C41" t="s">
        <v>42</v>
      </c>
      <c r="D41" t="s">
        <v>26</v>
      </c>
      <c r="E41" t="s">
        <v>50</v>
      </c>
      <c r="F41" t="s">
        <v>28</v>
      </c>
      <c r="G41" t="s">
        <v>483</v>
      </c>
      <c r="H41" t="s">
        <v>127</v>
      </c>
      <c r="I41" t="s">
        <v>51</v>
      </c>
      <c r="J41">
        <v>3</v>
      </c>
      <c r="K41" t="s">
        <v>51</v>
      </c>
      <c r="L41" t="s">
        <v>52</v>
      </c>
      <c r="M41" t="s">
        <v>33</v>
      </c>
      <c r="N41" t="s">
        <v>52</v>
      </c>
      <c r="O41" t="s">
        <v>34</v>
      </c>
      <c r="P41" t="s">
        <v>35</v>
      </c>
      <c r="Q41" t="s">
        <v>43</v>
      </c>
      <c r="R41" t="s">
        <v>37</v>
      </c>
      <c r="S41" t="s">
        <v>38</v>
      </c>
      <c r="T41" t="s">
        <v>38</v>
      </c>
      <c r="U41" t="s">
        <v>498</v>
      </c>
      <c r="V41" t="s">
        <v>38</v>
      </c>
      <c r="W41" t="s">
        <v>530</v>
      </c>
      <c r="X41" t="s">
        <v>530</v>
      </c>
    </row>
    <row r="42" spans="1:24" ht="24.75" customHeight="1" x14ac:dyDescent="0.35">
      <c r="A42" t="s">
        <v>158</v>
      </c>
      <c r="B42" t="s">
        <v>574</v>
      </c>
      <c r="C42" t="s">
        <v>48</v>
      </c>
      <c r="D42" t="s">
        <v>26</v>
      </c>
      <c r="E42" t="s">
        <v>27</v>
      </c>
      <c r="F42" t="s">
        <v>28</v>
      </c>
      <c r="G42" t="s">
        <v>483</v>
      </c>
      <c r="H42" t="s">
        <v>138</v>
      </c>
      <c r="I42" t="s">
        <v>30</v>
      </c>
      <c r="J42">
        <v>3</v>
      </c>
      <c r="K42" t="s">
        <v>31</v>
      </c>
      <c r="L42" t="s">
        <v>32</v>
      </c>
      <c r="M42" t="s">
        <v>33</v>
      </c>
      <c r="N42" t="s">
        <v>32</v>
      </c>
      <c r="O42" t="s">
        <v>57</v>
      </c>
      <c r="P42" t="s">
        <v>35</v>
      </c>
      <c r="Q42" t="s">
        <v>43</v>
      </c>
      <c r="R42" t="s">
        <v>37</v>
      </c>
      <c r="S42" t="s">
        <v>38</v>
      </c>
      <c r="T42" t="s">
        <v>38</v>
      </c>
      <c r="U42" t="s">
        <v>498</v>
      </c>
      <c r="V42" t="s">
        <v>44</v>
      </c>
      <c r="W42" t="s">
        <v>77</v>
      </c>
      <c r="X42" t="s">
        <v>490</v>
      </c>
    </row>
    <row r="43" spans="1:24" ht="24.75" customHeight="1" x14ac:dyDescent="0.35">
      <c r="A43" t="s">
        <v>160</v>
      </c>
      <c r="B43" t="s">
        <v>575</v>
      </c>
      <c r="C43" t="s">
        <v>42</v>
      </c>
      <c r="D43" t="s">
        <v>26</v>
      </c>
      <c r="E43" t="s">
        <v>50</v>
      </c>
      <c r="F43" t="s">
        <v>28</v>
      </c>
      <c r="G43" t="s">
        <v>32</v>
      </c>
      <c r="H43" t="s">
        <v>29</v>
      </c>
      <c r="I43" t="s">
        <v>81</v>
      </c>
      <c r="J43">
        <v>3</v>
      </c>
      <c r="K43" t="s">
        <v>51</v>
      </c>
      <c r="L43" t="s">
        <v>52</v>
      </c>
      <c r="M43" t="s">
        <v>33</v>
      </c>
      <c r="N43" t="s">
        <v>52</v>
      </c>
      <c r="O43" t="s">
        <v>57</v>
      </c>
      <c r="P43" t="s">
        <v>497</v>
      </c>
      <c r="Q43" t="s">
        <v>43</v>
      </c>
      <c r="R43" t="s">
        <v>101</v>
      </c>
      <c r="S43" t="s">
        <v>38</v>
      </c>
      <c r="T43" t="s">
        <v>38</v>
      </c>
      <c r="U43" t="s">
        <v>498</v>
      </c>
      <c r="V43" t="s">
        <v>38</v>
      </c>
      <c r="W43" t="s">
        <v>530</v>
      </c>
      <c r="X43" t="s">
        <v>530</v>
      </c>
    </row>
    <row r="44" spans="1:24" ht="24.75" customHeight="1" x14ac:dyDescent="0.35">
      <c r="A44" t="s">
        <v>162</v>
      </c>
      <c r="B44" t="s">
        <v>576</v>
      </c>
      <c r="C44" t="s">
        <v>42</v>
      </c>
      <c r="D44" t="s">
        <v>109</v>
      </c>
      <c r="E44" t="s">
        <v>27</v>
      </c>
      <c r="F44" t="s">
        <v>28</v>
      </c>
      <c r="G44" t="s">
        <v>32</v>
      </c>
      <c r="H44" t="s">
        <v>577</v>
      </c>
      <c r="I44" t="s">
        <v>51</v>
      </c>
      <c r="J44">
        <v>3</v>
      </c>
      <c r="K44" t="s">
        <v>51</v>
      </c>
      <c r="L44" t="s">
        <v>52</v>
      </c>
      <c r="M44" t="s">
        <v>33</v>
      </c>
      <c r="N44" t="s">
        <v>52</v>
      </c>
      <c r="O44" t="s">
        <v>34</v>
      </c>
      <c r="P44" t="s">
        <v>497</v>
      </c>
      <c r="Q44" t="s">
        <v>36</v>
      </c>
      <c r="R44" t="s">
        <v>164</v>
      </c>
      <c r="S44" t="s">
        <v>38</v>
      </c>
      <c r="T44" t="s">
        <v>38</v>
      </c>
      <c r="U44" t="s">
        <v>511</v>
      </c>
      <c r="V44" t="s">
        <v>38</v>
      </c>
      <c r="W44" t="s">
        <v>165</v>
      </c>
      <c r="X44" t="s">
        <v>500</v>
      </c>
    </row>
    <row r="45" spans="1:24" ht="24.75" customHeight="1" x14ac:dyDescent="0.35">
      <c r="A45" t="s">
        <v>166</v>
      </c>
      <c r="B45" t="s">
        <v>578</v>
      </c>
      <c r="C45" t="s">
        <v>42</v>
      </c>
      <c r="D45" t="s">
        <v>26</v>
      </c>
      <c r="E45" t="s">
        <v>27</v>
      </c>
      <c r="F45" t="s">
        <v>28</v>
      </c>
      <c r="G45" t="s">
        <v>483</v>
      </c>
      <c r="H45" t="s">
        <v>579</v>
      </c>
      <c r="I45" t="s">
        <v>487</v>
      </c>
      <c r="J45">
        <v>2</v>
      </c>
      <c r="K45" t="s">
        <v>51</v>
      </c>
      <c r="L45" t="s">
        <v>52</v>
      </c>
      <c r="M45" t="s">
        <v>563</v>
      </c>
      <c r="N45" t="s">
        <v>32</v>
      </c>
      <c r="O45" t="s">
        <v>57</v>
      </c>
      <c r="P45" t="s">
        <v>527</v>
      </c>
      <c r="Q45" t="s">
        <v>43</v>
      </c>
      <c r="R45" t="s">
        <v>37</v>
      </c>
      <c r="S45" t="s">
        <v>38</v>
      </c>
      <c r="T45" t="s">
        <v>38</v>
      </c>
      <c r="U45" t="s">
        <v>39</v>
      </c>
      <c r="V45" t="s">
        <v>44</v>
      </c>
      <c r="W45" t="s">
        <v>490</v>
      </c>
      <c r="X45" t="s">
        <v>535</v>
      </c>
    </row>
    <row r="46" spans="1:24" ht="24.75" customHeight="1" x14ac:dyDescent="0.35">
      <c r="A46" t="s">
        <v>168</v>
      </c>
      <c r="B46" t="s">
        <v>580</v>
      </c>
      <c r="C46" t="s">
        <v>48</v>
      </c>
      <c r="D46" t="s">
        <v>26</v>
      </c>
      <c r="E46" t="s">
        <v>27</v>
      </c>
      <c r="F46" t="s">
        <v>28</v>
      </c>
      <c r="G46" t="s">
        <v>483</v>
      </c>
      <c r="H46" t="s">
        <v>170</v>
      </c>
      <c r="I46" t="s">
        <v>487</v>
      </c>
      <c r="J46">
        <v>1</v>
      </c>
      <c r="K46" t="s">
        <v>488</v>
      </c>
      <c r="L46" t="s">
        <v>67</v>
      </c>
      <c r="M46" t="s">
        <v>503</v>
      </c>
      <c r="N46" t="s">
        <v>539</v>
      </c>
      <c r="O46" t="s">
        <v>494</v>
      </c>
      <c r="P46" t="s">
        <v>572</v>
      </c>
      <c r="Q46" t="s">
        <v>36</v>
      </c>
      <c r="R46" t="s">
        <v>37</v>
      </c>
      <c r="S46" t="s">
        <v>38</v>
      </c>
      <c r="T46" t="s">
        <v>38</v>
      </c>
      <c r="U46" t="s">
        <v>39</v>
      </c>
      <c r="V46" t="s">
        <v>38</v>
      </c>
      <c r="W46" t="s">
        <v>499</v>
      </c>
      <c r="X46" t="s">
        <v>499</v>
      </c>
    </row>
    <row r="47" spans="1:24" ht="24.75" customHeight="1" x14ac:dyDescent="0.35">
      <c r="A47" t="s">
        <v>171</v>
      </c>
      <c r="B47" t="s">
        <v>581</v>
      </c>
      <c r="C47" t="s">
        <v>42</v>
      </c>
      <c r="D47" t="s">
        <v>26</v>
      </c>
      <c r="E47" t="s">
        <v>50</v>
      </c>
      <c r="F47" t="s">
        <v>28</v>
      </c>
      <c r="G47" t="s">
        <v>483</v>
      </c>
      <c r="H47" t="s">
        <v>545</v>
      </c>
      <c r="I47" t="s">
        <v>51</v>
      </c>
      <c r="J47">
        <v>3</v>
      </c>
      <c r="K47" t="s">
        <v>51</v>
      </c>
      <c r="L47" t="s">
        <v>52</v>
      </c>
      <c r="M47" t="s">
        <v>33</v>
      </c>
      <c r="N47" t="s">
        <v>483</v>
      </c>
      <c r="O47" t="s">
        <v>494</v>
      </c>
      <c r="P47" t="s">
        <v>35</v>
      </c>
      <c r="Q47" t="s">
        <v>36</v>
      </c>
      <c r="R47" t="s">
        <v>53</v>
      </c>
      <c r="S47" t="s">
        <v>38</v>
      </c>
      <c r="T47" t="s">
        <v>38</v>
      </c>
      <c r="U47" t="s">
        <v>39</v>
      </c>
      <c r="V47" t="s">
        <v>38</v>
      </c>
      <c r="W47" t="s">
        <v>507</v>
      </c>
      <c r="X47" t="s">
        <v>495</v>
      </c>
    </row>
    <row r="48" spans="1:24" ht="24.75" customHeight="1" x14ac:dyDescent="0.35">
      <c r="A48" t="s">
        <v>173</v>
      </c>
      <c r="B48" t="s">
        <v>582</v>
      </c>
      <c r="C48" t="s">
        <v>42</v>
      </c>
      <c r="D48" t="s">
        <v>26</v>
      </c>
      <c r="E48" t="s">
        <v>27</v>
      </c>
      <c r="F48" t="s">
        <v>66</v>
      </c>
      <c r="G48" t="s">
        <v>483</v>
      </c>
      <c r="H48" t="s">
        <v>505</v>
      </c>
      <c r="I48" t="s">
        <v>51</v>
      </c>
      <c r="J48">
        <v>1</v>
      </c>
      <c r="K48" t="s">
        <v>51</v>
      </c>
      <c r="L48" t="s">
        <v>52</v>
      </c>
      <c r="M48" t="s">
        <v>563</v>
      </c>
      <c r="N48" t="s">
        <v>52</v>
      </c>
      <c r="O48" t="s">
        <v>494</v>
      </c>
      <c r="P48" t="s">
        <v>555</v>
      </c>
      <c r="Q48" t="s">
        <v>43</v>
      </c>
      <c r="R48" t="s">
        <v>37</v>
      </c>
      <c r="S48" t="s">
        <v>38</v>
      </c>
      <c r="T48" t="s">
        <v>38</v>
      </c>
      <c r="U48" t="s">
        <v>39</v>
      </c>
      <c r="V48" t="s">
        <v>38</v>
      </c>
      <c r="W48" t="s">
        <v>530</v>
      </c>
      <c r="X48" t="s">
        <v>530</v>
      </c>
    </row>
    <row r="49" spans="1:24" ht="24.75" customHeight="1" x14ac:dyDescent="0.35">
      <c r="A49" t="s">
        <v>175</v>
      </c>
      <c r="B49" t="s">
        <v>583</v>
      </c>
      <c r="C49" t="s">
        <v>177</v>
      </c>
      <c r="D49" t="s">
        <v>109</v>
      </c>
      <c r="E49" t="s">
        <v>50</v>
      </c>
      <c r="F49" t="s">
        <v>28</v>
      </c>
      <c r="G49" t="s">
        <v>483</v>
      </c>
      <c r="H49" t="s">
        <v>544</v>
      </c>
      <c r="I49" t="s">
        <v>487</v>
      </c>
      <c r="J49">
        <v>2</v>
      </c>
      <c r="K49" t="s">
        <v>31</v>
      </c>
      <c r="L49" t="s">
        <v>32</v>
      </c>
      <c r="M49" t="s">
        <v>584</v>
      </c>
      <c r="N49" t="s">
        <v>539</v>
      </c>
      <c r="O49" t="s">
        <v>494</v>
      </c>
      <c r="P49" t="s">
        <v>527</v>
      </c>
      <c r="Q49" t="s">
        <v>43</v>
      </c>
      <c r="R49" t="s">
        <v>53</v>
      </c>
      <c r="S49" t="s">
        <v>38</v>
      </c>
      <c r="T49" t="s">
        <v>38</v>
      </c>
      <c r="U49" t="s">
        <v>585</v>
      </c>
      <c r="V49" t="s">
        <v>38</v>
      </c>
      <c r="W49" t="s">
        <v>499</v>
      </c>
      <c r="X49" t="s">
        <v>484</v>
      </c>
    </row>
    <row r="50" spans="1:24" ht="24.75" customHeight="1" x14ac:dyDescent="0.35">
      <c r="A50" t="s">
        <v>178</v>
      </c>
      <c r="B50" t="s">
        <v>586</v>
      </c>
      <c r="C50" t="s">
        <v>48</v>
      </c>
      <c r="D50" t="s">
        <v>26</v>
      </c>
      <c r="E50" t="s">
        <v>27</v>
      </c>
      <c r="F50" t="s">
        <v>28</v>
      </c>
      <c r="G50" t="s">
        <v>483</v>
      </c>
      <c r="H50" t="s">
        <v>544</v>
      </c>
      <c r="I50" t="s">
        <v>51</v>
      </c>
      <c r="J50">
        <v>3</v>
      </c>
      <c r="K50" t="s">
        <v>51</v>
      </c>
      <c r="L50" t="s">
        <v>32</v>
      </c>
      <c r="M50" t="s">
        <v>563</v>
      </c>
      <c r="N50" t="s">
        <v>52</v>
      </c>
      <c r="O50" t="s">
        <v>494</v>
      </c>
      <c r="P50" t="s">
        <v>35</v>
      </c>
      <c r="Q50" t="s">
        <v>43</v>
      </c>
      <c r="R50" t="s">
        <v>37</v>
      </c>
      <c r="S50" t="s">
        <v>44</v>
      </c>
      <c r="T50" t="s">
        <v>44</v>
      </c>
      <c r="U50" t="s">
        <v>45</v>
      </c>
      <c r="V50" t="s">
        <v>44</v>
      </c>
      <c r="W50" t="s">
        <v>499</v>
      </c>
      <c r="X50" t="s">
        <v>499</v>
      </c>
    </row>
    <row r="51" spans="1:24" ht="24.75" customHeight="1" x14ac:dyDescent="0.35">
      <c r="A51" t="s">
        <v>180</v>
      </c>
      <c r="B51" t="s">
        <v>587</v>
      </c>
      <c r="C51" t="s">
        <v>42</v>
      </c>
      <c r="D51" t="s">
        <v>134</v>
      </c>
      <c r="E51" t="s">
        <v>27</v>
      </c>
      <c r="F51" t="s">
        <v>62</v>
      </c>
      <c r="G51" t="s">
        <v>483</v>
      </c>
      <c r="H51" t="s">
        <v>588</v>
      </c>
      <c r="I51" t="s">
        <v>51</v>
      </c>
      <c r="J51">
        <v>3</v>
      </c>
      <c r="K51" t="s">
        <v>51</v>
      </c>
      <c r="L51" t="s">
        <v>52</v>
      </c>
      <c r="M51" t="s">
        <v>563</v>
      </c>
      <c r="N51" t="s">
        <v>52</v>
      </c>
      <c r="O51" t="s">
        <v>494</v>
      </c>
      <c r="P51" t="s">
        <v>527</v>
      </c>
      <c r="Q51" t="s">
        <v>43</v>
      </c>
      <c r="R51" t="s">
        <v>101</v>
      </c>
      <c r="S51" t="s">
        <v>38</v>
      </c>
      <c r="T51" t="s">
        <v>38</v>
      </c>
      <c r="U51" t="s">
        <v>498</v>
      </c>
      <c r="V51" t="s">
        <v>38</v>
      </c>
      <c r="W51" t="s">
        <v>499</v>
      </c>
      <c r="X51" t="s">
        <v>499</v>
      </c>
    </row>
    <row r="52" spans="1:24" ht="24.75" customHeight="1" x14ac:dyDescent="0.35">
      <c r="A52" t="s">
        <v>182</v>
      </c>
      <c r="B52" t="s">
        <v>589</v>
      </c>
      <c r="C52" t="s">
        <v>25</v>
      </c>
      <c r="D52" t="s">
        <v>26</v>
      </c>
      <c r="E52" t="s">
        <v>27</v>
      </c>
      <c r="F52" t="s">
        <v>62</v>
      </c>
      <c r="G52" t="s">
        <v>483</v>
      </c>
      <c r="H52" t="s">
        <v>127</v>
      </c>
      <c r="I52" t="s">
        <v>487</v>
      </c>
      <c r="J52">
        <v>3</v>
      </c>
      <c r="K52" t="s">
        <v>51</v>
      </c>
      <c r="L52" t="s">
        <v>45</v>
      </c>
      <c r="M52" t="s">
        <v>33</v>
      </c>
      <c r="N52" t="s">
        <v>32</v>
      </c>
      <c r="O52" t="s">
        <v>57</v>
      </c>
      <c r="P52" t="s">
        <v>35</v>
      </c>
      <c r="Q52" t="s">
        <v>36</v>
      </c>
      <c r="R52" t="s">
        <v>101</v>
      </c>
      <c r="S52" t="s">
        <v>38</v>
      </c>
      <c r="T52" t="s">
        <v>38</v>
      </c>
      <c r="U52" t="s">
        <v>498</v>
      </c>
      <c r="V52" t="s">
        <v>44</v>
      </c>
      <c r="W52" t="s">
        <v>500</v>
      </c>
      <c r="X52" t="s">
        <v>530</v>
      </c>
    </row>
    <row r="53" spans="1:24" ht="24.75" customHeight="1" x14ac:dyDescent="0.35">
      <c r="A53" t="s">
        <v>184</v>
      </c>
      <c r="B53" t="s">
        <v>590</v>
      </c>
      <c r="C53" t="s">
        <v>48</v>
      </c>
      <c r="D53" t="s">
        <v>26</v>
      </c>
      <c r="E53" t="s">
        <v>61</v>
      </c>
      <c r="F53" t="s">
        <v>62</v>
      </c>
      <c r="G53" t="s">
        <v>483</v>
      </c>
      <c r="H53" t="s">
        <v>562</v>
      </c>
      <c r="I53" t="s">
        <v>51</v>
      </c>
      <c r="J53">
        <v>3</v>
      </c>
      <c r="K53" t="s">
        <v>51</v>
      </c>
      <c r="L53" t="s">
        <v>32</v>
      </c>
      <c r="M53" t="s">
        <v>591</v>
      </c>
      <c r="N53" t="s">
        <v>52</v>
      </c>
      <c r="O53" t="s">
        <v>141</v>
      </c>
      <c r="P53" t="s">
        <v>35</v>
      </c>
      <c r="Q53" t="s">
        <v>43</v>
      </c>
      <c r="R53" t="s">
        <v>101</v>
      </c>
      <c r="S53" t="s">
        <v>44</v>
      </c>
      <c r="T53" t="s">
        <v>44</v>
      </c>
      <c r="U53" t="s">
        <v>39</v>
      </c>
      <c r="V53" t="s">
        <v>38</v>
      </c>
      <c r="W53" t="s">
        <v>530</v>
      </c>
      <c r="X53" t="s">
        <v>530</v>
      </c>
    </row>
    <row r="54" spans="1:24" ht="24.75" customHeight="1" x14ac:dyDescent="0.35">
      <c r="A54" t="s">
        <v>186</v>
      </c>
      <c r="B54" t="s">
        <v>592</v>
      </c>
      <c r="C54" t="s">
        <v>25</v>
      </c>
      <c r="D54" t="s">
        <v>134</v>
      </c>
      <c r="E54" t="s">
        <v>27</v>
      </c>
      <c r="F54" t="s">
        <v>62</v>
      </c>
      <c r="G54" t="s">
        <v>483</v>
      </c>
      <c r="H54" t="s">
        <v>529</v>
      </c>
      <c r="I54" t="s">
        <v>51</v>
      </c>
      <c r="J54">
        <v>3</v>
      </c>
      <c r="K54" t="s">
        <v>51</v>
      </c>
      <c r="L54" t="s">
        <v>32</v>
      </c>
      <c r="M54" t="s">
        <v>593</v>
      </c>
      <c r="N54" t="s">
        <v>52</v>
      </c>
      <c r="O54" t="s">
        <v>57</v>
      </c>
      <c r="P54" t="s">
        <v>497</v>
      </c>
      <c r="Q54" t="s">
        <v>68</v>
      </c>
      <c r="R54" t="s">
        <v>53</v>
      </c>
      <c r="S54" t="s">
        <v>38</v>
      </c>
      <c r="T54" t="s">
        <v>38</v>
      </c>
      <c r="U54" t="s">
        <v>39</v>
      </c>
      <c r="V54" t="s">
        <v>38</v>
      </c>
      <c r="W54" t="s">
        <v>530</v>
      </c>
      <c r="X54" t="s">
        <v>530</v>
      </c>
    </row>
    <row r="55" spans="1:24" ht="24.75" customHeight="1" x14ac:dyDescent="0.35">
      <c r="A55" t="s">
        <v>188</v>
      </c>
      <c r="B55" t="s">
        <v>594</v>
      </c>
      <c r="C55" t="s">
        <v>42</v>
      </c>
      <c r="D55" t="s">
        <v>26</v>
      </c>
      <c r="E55" t="s">
        <v>27</v>
      </c>
      <c r="F55" t="s">
        <v>28</v>
      </c>
      <c r="G55" t="s">
        <v>483</v>
      </c>
      <c r="H55" t="s">
        <v>127</v>
      </c>
      <c r="I55" t="s">
        <v>51</v>
      </c>
      <c r="J55">
        <v>3</v>
      </c>
      <c r="K55" t="s">
        <v>51</v>
      </c>
      <c r="L55" t="s">
        <v>52</v>
      </c>
      <c r="M55" t="s">
        <v>540</v>
      </c>
      <c r="N55" t="s">
        <v>52</v>
      </c>
      <c r="O55" t="s">
        <v>494</v>
      </c>
      <c r="P55" t="s">
        <v>497</v>
      </c>
      <c r="Q55" t="s">
        <v>43</v>
      </c>
      <c r="R55" t="s">
        <v>53</v>
      </c>
      <c r="S55" t="s">
        <v>38</v>
      </c>
      <c r="T55" t="s">
        <v>38</v>
      </c>
      <c r="U55" t="s">
        <v>498</v>
      </c>
      <c r="V55" t="s">
        <v>38</v>
      </c>
      <c r="W55" t="s">
        <v>530</v>
      </c>
      <c r="X55" t="s">
        <v>490</v>
      </c>
    </row>
    <row r="56" spans="1:24" ht="24.75" customHeight="1" x14ac:dyDescent="0.35">
      <c r="A56" t="s">
        <v>190</v>
      </c>
      <c r="B56" t="s">
        <v>595</v>
      </c>
      <c r="C56" t="s">
        <v>48</v>
      </c>
      <c r="D56" t="s">
        <v>65</v>
      </c>
      <c r="E56" t="s">
        <v>27</v>
      </c>
      <c r="F56" t="s">
        <v>28</v>
      </c>
      <c r="G56" t="s">
        <v>483</v>
      </c>
      <c r="H56" t="s">
        <v>545</v>
      </c>
      <c r="I56" t="s">
        <v>30</v>
      </c>
      <c r="J56">
        <v>2</v>
      </c>
      <c r="K56" t="s">
        <v>31</v>
      </c>
      <c r="L56" t="s">
        <v>67</v>
      </c>
      <c r="M56" t="s">
        <v>567</v>
      </c>
      <c r="N56" t="s">
        <v>483</v>
      </c>
      <c r="O56" t="s">
        <v>494</v>
      </c>
      <c r="P56" t="s">
        <v>572</v>
      </c>
      <c r="Q56" t="s">
        <v>36</v>
      </c>
      <c r="R56" t="s">
        <v>37</v>
      </c>
      <c r="S56" t="s">
        <v>38</v>
      </c>
      <c r="T56" t="s">
        <v>38</v>
      </c>
      <c r="U56" t="s">
        <v>192</v>
      </c>
      <c r="V56" t="s">
        <v>38</v>
      </c>
      <c r="W56" t="s">
        <v>499</v>
      </c>
      <c r="X56" t="s">
        <v>499</v>
      </c>
    </row>
    <row r="57" spans="1:24" ht="24.75" customHeight="1" x14ac:dyDescent="0.35">
      <c r="A57" t="s">
        <v>193</v>
      </c>
      <c r="B57" t="s">
        <v>596</v>
      </c>
      <c r="C57" t="s">
        <v>42</v>
      </c>
      <c r="D57" t="s">
        <v>26</v>
      </c>
      <c r="E57" t="s">
        <v>27</v>
      </c>
      <c r="F57" t="s">
        <v>28</v>
      </c>
      <c r="G57" t="s">
        <v>483</v>
      </c>
      <c r="H57" t="s">
        <v>544</v>
      </c>
      <c r="I57" t="s">
        <v>51</v>
      </c>
      <c r="J57">
        <v>3</v>
      </c>
      <c r="K57" t="s">
        <v>51</v>
      </c>
      <c r="L57" t="s">
        <v>32</v>
      </c>
      <c r="M57" t="s">
        <v>33</v>
      </c>
      <c r="N57" t="s">
        <v>597</v>
      </c>
      <c r="O57" t="s">
        <v>57</v>
      </c>
      <c r="P57" t="s">
        <v>35</v>
      </c>
      <c r="Q57" t="s">
        <v>43</v>
      </c>
      <c r="R57" t="s">
        <v>37</v>
      </c>
      <c r="S57" t="s">
        <v>38</v>
      </c>
      <c r="T57" t="s">
        <v>38</v>
      </c>
      <c r="U57" t="s">
        <v>498</v>
      </c>
      <c r="V57" t="s">
        <v>44</v>
      </c>
      <c r="W57" t="s">
        <v>499</v>
      </c>
      <c r="X57" t="s">
        <v>499</v>
      </c>
    </row>
    <row r="58" spans="1:24" ht="24.75" customHeight="1" x14ac:dyDescent="0.35">
      <c r="A58" t="s">
        <v>195</v>
      </c>
      <c r="B58" t="s">
        <v>598</v>
      </c>
      <c r="C58" t="s">
        <v>60</v>
      </c>
      <c r="D58" t="s">
        <v>134</v>
      </c>
      <c r="E58" t="s">
        <v>61</v>
      </c>
      <c r="F58" t="s">
        <v>62</v>
      </c>
      <c r="G58" t="s">
        <v>153</v>
      </c>
      <c r="H58" t="s">
        <v>197</v>
      </c>
      <c r="I58" t="s">
        <v>51</v>
      </c>
      <c r="J58">
        <v>4</v>
      </c>
      <c r="K58" t="s">
        <v>51</v>
      </c>
      <c r="L58" t="s">
        <v>52</v>
      </c>
      <c r="M58" t="s">
        <v>540</v>
      </c>
      <c r="N58" t="s">
        <v>52</v>
      </c>
      <c r="O58" t="s">
        <v>494</v>
      </c>
      <c r="P58" t="s">
        <v>555</v>
      </c>
      <c r="Q58" t="s">
        <v>43</v>
      </c>
      <c r="R58" t="s">
        <v>53</v>
      </c>
      <c r="S58" t="s">
        <v>38</v>
      </c>
      <c r="T58" t="s">
        <v>38</v>
      </c>
      <c r="U58" t="s">
        <v>498</v>
      </c>
      <c r="V58" t="s">
        <v>44</v>
      </c>
      <c r="W58" t="s">
        <v>507</v>
      </c>
      <c r="X58" t="s">
        <v>507</v>
      </c>
    </row>
    <row r="59" spans="1:24" ht="24.75" customHeight="1" x14ac:dyDescent="0.35">
      <c r="A59" t="s">
        <v>198</v>
      </c>
      <c r="B59" t="s">
        <v>599</v>
      </c>
      <c r="C59" t="s">
        <v>42</v>
      </c>
      <c r="D59" t="s">
        <v>26</v>
      </c>
      <c r="E59" t="s">
        <v>50</v>
      </c>
      <c r="F59" t="s">
        <v>66</v>
      </c>
      <c r="G59" t="s">
        <v>483</v>
      </c>
      <c r="H59" t="s">
        <v>486</v>
      </c>
      <c r="I59" t="s">
        <v>51</v>
      </c>
      <c r="J59">
        <v>3</v>
      </c>
      <c r="K59" t="s">
        <v>51</v>
      </c>
      <c r="L59" t="s">
        <v>52</v>
      </c>
      <c r="M59" t="s">
        <v>33</v>
      </c>
      <c r="N59" t="s">
        <v>52</v>
      </c>
      <c r="O59" t="s">
        <v>141</v>
      </c>
      <c r="P59" t="s">
        <v>497</v>
      </c>
      <c r="Q59" t="s">
        <v>43</v>
      </c>
      <c r="R59" t="s">
        <v>101</v>
      </c>
      <c r="S59" t="s">
        <v>38</v>
      </c>
      <c r="T59" t="s">
        <v>38</v>
      </c>
      <c r="U59" t="s">
        <v>498</v>
      </c>
      <c r="V59" t="s">
        <v>44</v>
      </c>
      <c r="W59" t="s">
        <v>490</v>
      </c>
      <c r="X59" t="s">
        <v>530</v>
      </c>
    </row>
    <row r="60" spans="1:24" ht="24.75" customHeight="1" x14ac:dyDescent="0.35">
      <c r="A60" t="s">
        <v>200</v>
      </c>
      <c r="B60" t="s">
        <v>600</v>
      </c>
      <c r="C60" t="s">
        <v>42</v>
      </c>
      <c r="D60" t="s">
        <v>134</v>
      </c>
      <c r="E60" t="s">
        <v>27</v>
      </c>
      <c r="F60" t="s">
        <v>28</v>
      </c>
      <c r="G60" t="s">
        <v>32</v>
      </c>
      <c r="H60" t="s">
        <v>138</v>
      </c>
      <c r="I60" t="s">
        <v>51</v>
      </c>
      <c r="J60">
        <v>5</v>
      </c>
      <c r="K60" t="s">
        <v>82</v>
      </c>
      <c r="L60" t="s">
        <v>153</v>
      </c>
      <c r="M60" t="s">
        <v>517</v>
      </c>
      <c r="N60" t="s">
        <v>52</v>
      </c>
      <c r="O60" t="s">
        <v>494</v>
      </c>
      <c r="P60" t="s">
        <v>555</v>
      </c>
      <c r="Q60" t="s">
        <v>68</v>
      </c>
      <c r="R60" t="s">
        <v>101</v>
      </c>
      <c r="S60" t="s">
        <v>38</v>
      </c>
      <c r="T60" t="s">
        <v>38</v>
      </c>
      <c r="U60" t="s">
        <v>39</v>
      </c>
      <c r="V60" t="s">
        <v>38</v>
      </c>
      <c r="W60" t="s">
        <v>490</v>
      </c>
      <c r="X60" t="s">
        <v>490</v>
      </c>
    </row>
    <row r="61" spans="1:24" ht="24.75" customHeight="1" x14ac:dyDescent="0.35">
      <c r="A61" t="s">
        <v>202</v>
      </c>
      <c r="B61" t="s">
        <v>601</v>
      </c>
      <c r="C61" t="s">
        <v>42</v>
      </c>
      <c r="D61" t="s">
        <v>26</v>
      </c>
      <c r="E61" t="s">
        <v>27</v>
      </c>
      <c r="F61" t="s">
        <v>28</v>
      </c>
      <c r="G61" t="s">
        <v>483</v>
      </c>
      <c r="H61" t="s">
        <v>529</v>
      </c>
      <c r="I61" t="s">
        <v>51</v>
      </c>
      <c r="J61">
        <v>3</v>
      </c>
      <c r="K61" t="s">
        <v>51</v>
      </c>
      <c r="L61" t="s">
        <v>52</v>
      </c>
      <c r="M61" t="s">
        <v>33</v>
      </c>
      <c r="N61" t="s">
        <v>52</v>
      </c>
      <c r="O61" t="s">
        <v>494</v>
      </c>
      <c r="P61" t="s">
        <v>35</v>
      </c>
      <c r="Q61" t="s">
        <v>43</v>
      </c>
      <c r="R61" t="s">
        <v>53</v>
      </c>
      <c r="S61" t="s">
        <v>38</v>
      </c>
      <c r="T61" t="s">
        <v>38</v>
      </c>
      <c r="U61" t="s">
        <v>39</v>
      </c>
      <c r="V61" t="s">
        <v>38</v>
      </c>
      <c r="W61" t="s">
        <v>507</v>
      </c>
      <c r="X61" t="s">
        <v>507</v>
      </c>
    </row>
    <row r="62" spans="1:24" ht="24.75" customHeight="1" x14ac:dyDescent="0.35">
      <c r="A62" t="s">
        <v>204</v>
      </c>
      <c r="B62" t="s">
        <v>602</v>
      </c>
      <c r="C62" t="s">
        <v>42</v>
      </c>
      <c r="D62" t="s">
        <v>26</v>
      </c>
      <c r="E62" t="s">
        <v>27</v>
      </c>
      <c r="F62" t="s">
        <v>28</v>
      </c>
      <c r="G62" t="s">
        <v>32</v>
      </c>
      <c r="H62" t="s">
        <v>603</v>
      </c>
      <c r="I62" t="s">
        <v>30</v>
      </c>
      <c r="J62">
        <v>4</v>
      </c>
      <c r="K62" t="s">
        <v>31</v>
      </c>
      <c r="L62" t="s">
        <v>52</v>
      </c>
      <c r="M62" t="s">
        <v>33</v>
      </c>
      <c r="N62" t="s">
        <v>52</v>
      </c>
      <c r="O62" t="s">
        <v>494</v>
      </c>
      <c r="P62" t="s">
        <v>35</v>
      </c>
      <c r="Q62" t="s">
        <v>43</v>
      </c>
      <c r="R62" t="s">
        <v>37</v>
      </c>
      <c r="S62" t="s">
        <v>44</v>
      </c>
      <c r="T62" t="s">
        <v>38</v>
      </c>
      <c r="U62" t="s">
        <v>511</v>
      </c>
      <c r="V62" t="s">
        <v>38</v>
      </c>
      <c r="W62" t="s">
        <v>499</v>
      </c>
      <c r="X62" t="s">
        <v>499</v>
      </c>
    </row>
    <row r="63" spans="1:24" ht="24.75" customHeight="1" x14ac:dyDescent="0.35">
      <c r="A63" t="s">
        <v>206</v>
      </c>
      <c r="B63" t="s">
        <v>604</v>
      </c>
      <c r="C63" t="s">
        <v>106</v>
      </c>
      <c r="D63" t="s">
        <v>26</v>
      </c>
      <c r="E63" t="s">
        <v>27</v>
      </c>
      <c r="F63" t="s">
        <v>28</v>
      </c>
      <c r="G63" t="s">
        <v>483</v>
      </c>
      <c r="H63" t="s">
        <v>605</v>
      </c>
      <c r="I63" t="s">
        <v>51</v>
      </c>
      <c r="J63">
        <v>3</v>
      </c>
      <c r="K63" t="s">
        <v>51</v>
      </c>
      <c r="L63" t="s">
        <v>32</v>
      </c>
      <c r="M63" t="s">
        <v>33</v>
      </c>
      <c r="N63" t="s">
        <v>32</v>
      </c>
      <c r="O63" t="s">
        <v>494</v>
      </c>
      <c r="P63" t="s">
        <v>35</v>
      </c>
      <c r="Q63" t="s">
        <v>43</v>
      </c>
      <c r="R63" t="s">
        <v>53</v>
      </c>
      <c r="S63" t="s">
        <v>44</v>
      </c>
      <c r="T63" t="s">
        <v>44</v>
      </c>
      <c r="U63" t="s">
        <v>498</v>
      </c>
      <c r="V63" t="s">
        <v>44</v>
      </c>
      <c r="W63" t="s">
        <v>500</v>
      </c>
      <c r="X63" t="s">
        <v>500</v>
      </c>
    </row>
    <row r="64" spans="1:24" ht="24.75" customHeight="1" x14ac:dyDescent="0.35">
      <c r="A64" t="s">
        <v>208</v>
      </c>
      <c r="B64" t="s">
        <v>606</v>
      </c>
      <c r="C64" t="s">
        <v>42</v>
      </c>
      <c r="D64" t="s">
        <v>26</v>
      </c>
      <c r="E64" t="s">
        <v>27</v>
      </c>
      <c r="F64" t="s">
        <v>28</v>
      </c>
      <c r="G64" t="s">
        <v>483</v>
      </c>
      <c r="H64" t="s">
        <v>486</v>
      </c>
      <c r="I64" t="s">
        <v>51</v>
      </c>
      <c r="J64">
        <v>3</v>
      </c>
      <c r="K64" t="s">
        <v>31</v>
      </c>
      <c r="L64" t="s">
        <v>52</v>
      </c>
      <c r="M64" t="s">
        <v>33</v>
      </c>
      <c r="N64" t="s">
        <v>52</v>
      </c>
      <c r="O64" t="s">
        <v>57</v>
      </c>
      <c r="P64" t="s">
        <v>497</v>
      </c>
      <c r="Q64" t="s">
        <v>43</v>
      </c>
      <c r="R64" t="s">
        <v>53</v>
      </c>
      <c r="S64" t="s">
        <v>38</v>
      </c>
      <c r="T64" t="s">
        <v>38</v>
      </c>
      <c r="U64" t="s">
        <v>498</v>
      </c>
      <c r="V64" t="s">
        <v>38</v>
      </c>
      <c r="W64" t="s">
        <v>530</v>
      </c>
      <c r="X64" t="s">
        <v>530</v>
      </c>
    </row>
    <row r="65" spans="1:23" ht="24.75" customHeight="1" x14ac:dyDescent="0.35">
      <c r="A65" t="s">
        <v>210</v>
      </c>
      <c r="B65" t="s">
        <v>607</v>
      </c>
      <c r="C65" t="s">
        <v>25</v>
      </c>
      <c r="D65" t="s">
        <v>134</v>
      </c>
      <c r="E65" t="s">
        <v>50</v>
      </c>
      <c r="F65" t="s">
        <v>28</v>
      </c>
      <c r="G65" t="s">
        <v>483</v>
      </c>
      <c r="H65" t="s">
        <v>486</v>
      </c>
      <c r="I65" t="s">
        <v>81</v>
      </c>
      <c r="J65">
        <v>4</v>
      </c>
      <c r="K65" t="s">
        <v>82</v>
      </c>
      <c r="L65" t="s">
        <v>52</v>
      </c>
      <c r="M65" t="s">
        <v>591</v>
      </c>
      <c r="N65" t="s">
        <v>52</v>
      </c>
      <c r="O65" t="s">
        <v>57</v>
      </c>
      <c r="P65" t="s">
        <v>497</v>
      </c>
      <c r="Q65" t="s">
        <v>68</v>
      </c>
      <c r="R65" t="s">
        <v>101</v>
      </c>
      <c r="S65" t="s">
        <v>44</v>
      </c>
      <c r="T65" t="s">
        <v>44</v>
      </c>
      <c r="U65" t="s">
        <v>45</v>
      </c>
      <c r="V65" t="s">
        <v>44</v>
      </c>
      <c r="W65" t="s">
        <v>530</v>
      </c>
    </row>
    <row r="66" spans="1:23" ht="24.75" customHeight="1" x14ac:dyDescent="0.35">
      <c r="A66" t="s">
        <v>212</v>
      </c>
      <c r="B66" t="s">
        <v>608</v>
      </c>
      <c r="C66" t="s">
        <v>177</v>
      </c>
      <c r="D66" t="s">
        <v>26</v>
      </c>
      <c r="E66" t="s">
        <v>27</v>
      </c>
      <c r="F66" t="s">
        <v>66</v>
      </c>
      <c r="G66" t="s">
        <v>483</v>
      </c>
      <c r="H66" t="s">
        <v>214</v>
      </c>
      <c r="I66" t="s">
        <v>609</v>
      </c>
      <c r="J66">
        <v>2</v>
      </c>
      <c r="K66" t="s">
        <v>31</v>
      </c>
      <c r="L66" t="s">
        <v>52</v>
      </c>
      <c r="M66" t="s">
        <v>610</v>
      </c>
      <c r="N66" t="s">
        <v>32</v>
      </c>
      <c r="O66" t="s">
        <v>141</v>
      </c>
      <c r="P66" t="s">
        <v>35</v>
      </c>
      <c r="Q66" t="s">
        <v>43</v>
      </c>
      <c r="R66" t="s">
        <v>37</v>
      </c>
      <c r="S66" t="s">
        <v>38</v>
      </c>
      <c r="T66" t="s">
        <v>38</v>
      </c>
      <c r="U66" t="s">
        <v>498</v>
      </c>
      <c r="V66" t="s">
        <v>38</v>
      </c>
      <c r="W66" t="s">
        <v>530</v>
      </c>
    </row>
    <row r="67" spans="1:23" ht="24.75" customHeight="1" x14ac:dyDescent="0.35">
      <c r="A67" t="s">
        <v>215</v>
      </c>
      <c r="B67" t="s">
        <v>611</v>
      </c>
      <c r="C67" t="s">
        <v>48</v>
      </c>
      <c r="D67" t="s">
        <v>26</v>
      </c>
      <c r="E67" t="s">
        <v>27</v>
      </c>
      <c r="F67" t="s">
        <v>62</v>
      </c>
      <c r="G67" t="s">
        <v>483</v>
      </c>
      <c r="H67" t="s">
        <v>544</v>
      </c>
      <c r="I67" t="s">
        <v>51</v>
      </c>
      <c r="J67">
        <v>3</v>
      </c>
      <c r="K67" t="s">
        <v>31</v>
      </c>
      <c r="L67" t="s">
        <v>52</v>
      </c>
      <c r="M67" t="s">
        <v>540</v>
      </c>
      <c r="N67" t="s">
        <v>32</v>
      </c>
      <c r="O67" t="s">
        <v>494</v>
      </c>
      <c r="P67" t="s">
        <v>35</v>
      </c>
      <c r="Q67" t="s">
        <v>43</v>
      </c>
      <c r="R67" t="s">
        <v>37</v>
      </c>
      <c r="S67" t="s">
        <v>38</v>
      </c>
      <c r="T67" t="s">
        <v>38</v>
      </c>
      <c r="U67" t="s">
        <v>39</v>
      </c>
      <c r="V67" t="s">
        <v>38</v>
      </c>
      <c r="W67" t="s">
        <v>499</v>
      </c>
    </row>
    <row r="68" spans="1:23" ht="24.75" customHeight="1" x14ac:dyDescent="0.35">
      <c r="A68" t="s">
        <v>217</v>
      </c>
      <c r="B68" t="s">
        <v>612</v>
      </c>
      <c r="C68" t="s">
        <v>42</v>
      </c>
      <c r="D68" t="s">
        <v>26</v>
      </c>
      <c r="E68" t="s">
        <v>50</v>
      </c>
      <c r="F68" t="s">
        <v>28</v>
      </c>
      <c r="G68" t="s">
        <v>483</v>
      </c>
      <c r="H68" t="s">
        <v>545</v>
      </c>
      <c r="I68" t="s">
        <v>30</v>
      </c>
      <c r="J68">
        <v>2</v>
      </c>
      <c r="K68" t="s">
        <v>488</v>
      </c>
      <c r="L68" t="s">
        <v>32</v>
      </c>
      <c r="M68" t="s">
        <v>33</v>
      </c>
      <c r="N68" t="s">
        <v>32</v>
      </c>
      <c r="O68" t="s">
        <v>57</v>
      </c>
      <c r="P68" t="s">
        <v>35</v>
      </c>
      <c r="Q68" t="s">
        <v>36</v>
      </c>
      <c r="R68" t="s">
        <v>37</v>
      </c>
      <c r="S68" t="s">
        <v>38</v>
      </c>
      <c r="T68" t="s">
        <v>38</v>
      </c>
      <c r="U68" t="s">
        <v>498</v>
      </c>
      <c r="V68" t="s">
        <v>44</v>
      </c>
      <c r="W68" t="s">
        <v>499</v>
      </c>
    </row>
    <row r="69" spans="1:23" ht="24.75" customHeight="1" x14ac:dyDescent="0.35">
      <c r="A69" t="s">
        <v>219</v>
      </c>
      <c r="B69" t="s">
        <v>613</v>
      </c>
      <c r="C69" t="s">
        <v>42</v>
      </c>
      <c r="D69" t="s">
        <v>134</v>
      </c>
      <c r="E69" t="s">
        <v>27</v>
      </c>
      <c r="F69" t="s">
        <v>62</v>
      </c>
      <c r="G69" t="s">
        <v>483</v>
      </c>
      <c r="H69" t="s">
        <v>545</v>
      </c>
      <c r="I69" t="s">
        <v>51</v>
      </c>
      <c r="J69">
        <v>3</v>
      </c>
      <c r="K69" t="s">
        <v>51</v>
      </c>
      <c r="L69" t="s">
        <v>52</v>
      </c>
      <c r="M69" t="s">
        <v>524</v>
      </c>
      <c r="N69" t="s">
        <v>52</v>
      </c>
      <c r="O69" t="s">
        <v>34</v>
      </c>
      <c r="P69" t="s">
        <v>35</v>
      </c>
      <c r="Q69" t="s">
        <v>43</v>
      </c>
      <c r="R69" t="s">
        <v>53</v>
      </c>
      <c r="S69" t="s">
        <v>44</v>
      </c>
      <c r="T69" t="s">
        <v>38</v>
      </c>
      <c r="U69" t="s">
        <v>498</v>
      </c>
      <c r="V69" t="s">
        <v>38</v>
      </c>
      <c r="W69" t="s">
        <v>499</v>
      </c>
    </row>
    <row r="70" spans="1:23" ht="24.75" customHeight="1" x14ac:dyDescent="0.35">
      <c r="A70" t="s">
        <v>221</v>
      </c>
      <c r="B70" t="s">
        <v>614</v>
      </c>
      <c r="C70" t="s">
        <v>42</v>
      </c>
      <c r="D70" t="s">
        <v>26</v>
      </c>
      <c r="E70" t="s">
        <v>50</v>
      </c>
      <c r="F70" t="s">
        <v>28</v>
      </c>
      <c r="G70" t="s">
        <v>483</v>
      </c>
      <c r="H70" t="s">
        <v>486</v>
      </c>
      <c r="I70" t="s">
        <v>51</v>
      </c>
      <c r="J70">
        <v>2</v>
      </c>
      <c r="K70" t="s">
        <v>31</v>
      </c>
      <c r="L70" t="s">
        <v>52</v>
      </c>
      <c r="M70" t="s">
        <v>33</v>
      </c>
      <c r="N70" t="s">
        <v>32</v>
      </c>
      <c r="O70" t="s">
        <v>57</v>
      </c>
      <c r="P70" t="s">
        <v>497</v>
      </c>
      <c r="Q70" t="s">
        <v>43</v>
      </c>
      <c r="R70" t="s">
        <v>53</v>
      </c>
      <c r="S70" t="s">
        <v>38</v>
      </c>
      <c r="T70"/>
      <c r="U70" t="s">
        <v>498</v>
      </c>
      <c r="V70" t="s">
        <v>44</v>
      </c>
      <c r="W70" t="s">
        <v>530</v>
      </c>
    </row>
    <row r="71" spans="1:23" ht="24.75" customHeight="1" x14ac:dyDescent="0.35">
      <c r="A71" t="s">
        <v>223</v>
      </c>
      <c r="B71" t="s">
        <v>615</v>
      </c>
      <c r="C71" t="s">
        <v>60</v>
      </c>
      <c r="D71" t="s">
        <v>134</v>
      </c>
      <c r="E71" t="s">
        <v>61</v>
      </c>
      <c r="F71" t="s">
        <v>28</v>
      </c>
      <c r="G71" t="s">
        <v>483</v>
      </c>
      <c r="H71" t="s">
        <v>545</v>
      </c>
      <c r="I71" t="s">
        <v>225</v>
      </c>
      <c r="J71">
        <v>3</v>
      </c>
      <c r="K71" t="s">
        <v>82</v>
      </c>
      <c r="L71" t="s">
        <v>153</v>
      </c>
      <c r="M71" t="s">
        <v>33</v>
      </c>
      <c r="N71" t="s">
        <v>153</v>
      </c>
      <c r="O71" t="s">
        <v>57</v>
      </c>
      <c r="P71" t="s">
        <v>497</v>
      </c>
      <c r="Q71" t="s">
        <v>43</v>
      </c>
      <c r="R71" t="s">
        <v>37</v>
      </c>
      <c r="S71" t="s">
        <v>38</v>
      </c>
      <c r="T71" t="s">
        <v>44</v>
      </c>
      <c r="U71" t="s">
        <v>39</v>
      </c>
      <c r="V71" t="s">
        <v>38</v>
      </c>
      <c r="W71" t="s">
        <v>490</v>
      </c>
    </row>
    <row r="72" spans="1:23" ht="24.75" customHeight="1" x14ac:dyDescent="0.35">
      <c r="A72" t="s">
        <v>226</v>
      </c>
      <c r="B72" t="s">
        <v>616</v>
      </c>
      <c r="C72" t="s">
        <v>60</v>
      </c>
      <c r="D72" t="s">
        <v>26</v>
      </c>
      <c r="E72" t="s">
        <v>61</v>
      </c>
      <c r="F72" t="s">
        <v>28</v>
      </c>
      <c r="G72" t="s">
        <v>483</v>
      </c>
      <c r="H72" t="s">
        <v>617</v>
      </c>
      <c r="I72" t="s">
        <v>30</v>
      </c>
      <c r="J72">
        <v>2</v>
      </c>
      <c r="K72" t="s">
        <v>51</v>
      </c>
      <c r="L72" t="s">
        <v>52</v>
      </c>
      <c r="M72" t="s">
        <v>524</v>
      </c>
      <c r="N72" t="s">
        <v>32</v>
      </c>
      <c r="O72" t="s">
        <v>34</v>
      </c>
      <c r="P72" t="s">
        <v>497</v>
      </c>
      <c r="Q72" t="s">
        <v>68</v>
      </c>
      <c r="R72" t="s">
        <v>53</v>
      </c>
      <c r="S72" t="s">
        <v>38</v>
      </c>
      <c r="T72" t="s">
        <v>44</v>
      </c>
      <c r="U72" t="s">
        <v>498</v>
      </c>
      <c r="V72" t="s">
        <v>44</v>
      </c>
      <c r="W72" t="s">
        <v>507</v>
      </c>
    </row>
    <row r="73" spans="1:23" ht="24.75" customHeight="1" x14ac:dyDescent="0.35">
      <c r="A73" t="s">
        <v>228</v>
      </c>
      <c r="B73" t="s">
        <v>618</v>
      </c>
      <c r="C73" t="s">
        <v>42</v>
      </c>
      <c r="D73" t="s">
        <v>26</v>
      </c>
      <c r="E73" t="s">
        <v>27</v>
      </c>
      <c r="F73" t="s">
        <v>66</v>
      </c>
      <c r="G73" t="s">
        <v>483</v>
      </c>
      <c r="H73" t="s">
        <v>619</v>
      </c>
      <c r="I73" t="s">
        <v>487</v>
      </c>
      <c r="J73">
        <v>3</v>
      </c>
      <c r="K73" t="s">
        <v>488</v>
      </c>
      <c r="L73" t="s">
        <v>52</v>
      </c>
      <c r="M73" t="s">
        <v>33</v>
      </c>
      <c r="N73" t="s">
        <v>483</v>
      </c>
      <c r="O73" t="s">
        <v>494</v>
      </c>
      <c r="P73" t="s">
        <v>555</v>
      </c>
      <c r="Q73" t="s">
        <v>546</v>
      </c>
      <c r="R73" t="s">
        <v>37</v>
      </c>
      <c r="S73" t="s">
        <v>38</v>
      </c>
      <c r="T73" t="s">
        <v>38</v>
      </c>
      <c r="U73" t="s">
        <v>511</v>
      </c>
      <c r="V73" t="s">
        <v>38</v>
      </c>
      <c r="W73" t="s">
        <v>557</v>
      </c>
    </row>
    <row r="74" spans="1:23" ht="24.75" customHeight="1" x14ac:dyDescent="0.35">
      <c r="A74" t="s">
        <v>230</v>
      </c>
      <c r="B74" t="s">
        <v>620</v>
      </c>
      <c r="C74" t="s">
        <v>42</v>
      </c>
      <c r="D74" t="s">
        <v>26</v>
      </c>
      <c r="E74" t="s">
        <v>50</v>
      </c>
      <c r="F74" t="s">
        <v>28</v>
      </c>
      <c r="G74" t="s">
        <v>483</v>
      </c>
      <c r="H74" t="s">
        <v>569</v>
      </c>
      <c r="I74" t="s">
        <v>487</v>
      </c>
      <c r="J74">
        <v>1</v>
      </c>
      <c r="K74" t="s">
        <v>488</v>
      </c>
      <c r="L74" t="s">
        <v>67</v>
      </c>
      <c r="M74" t="s">
        <v>33</v>
      </c>
      <c r="N74" t="s">
        <v>483</v>
      </c>
      <c r="O74" t="s">
        <v>57</v>
      </c>
      <c r="P74" t="s">
        <v>35</v>
      </c>
      <c r="Q74" t="s">
        <v>546</v>
      </c>
      <c r="R74" t="s">
        <v>37</v>
      </c>
      <c r="S74" t="s">
        <v>38</v>
      </c>
      <c r="T74" t="s">
        <v>44</v>
      </c>
      <c r="U74" t="s">
        <v>498</v>
      </c>
      <c r="V74" t="s">
        <v>44</v>
      </c>
      <c r="W74" t="s">
        <v>557</v>
      </c>
    </row>
    <row r="75" spans="1:23" ht="24.75" customHeight="1" x14ac:dyDescent="0.35">
      <c r="A75" t="s">
        <v>232</v>
      </c>
      <c r="B75" t="s">
        <v>621</v>
      </c>
      <c r="C75" t="s">
        <v>42</v>
      </c>
      <c r="D75" t="s">
        <v>26</v>
      </c>
      <c r="E75" t="s">
        <v>50</v>
      </c>
      <c r="F75" t="s">
        <v>62</v>
      </c>
      <c r="G75" t="s">
        <v>483</v>
      </c>
      <c r="H75" t="s">
        <v>577</v>
      </c>
      <c r="I75" t="s">
        <v>51</v>
      </c>
      <c r="J75">
        <v>3</v>
      </c>
      <c r="K75" t="s">
        <v>51</v>
      </c>
      <c r="L75" t="s">
        <v>32</v>
      </c>
      <c r="M75" t="s">
        <v>33</v>
      </c>
      <c r="N75" t="s">
        <v>52</v>
      </c>
      <c r="O75" t="s">
        <v>57</v>
      </c>
      <c r="P75" t="s">
        <v>35</v>
      </c>
      <c r="Q75" t="s">
        <v>43</v>
      </c>
      <c r="R75" t="s">
        <v>101</v>
      </c>
      <c r="S75" t="s">
        <v>44</v>
      </c>
      <c r="T75" t="s">
        <v>38</v>
      </c>
      <c r="U75" t="s">
        <v>511</v>
      </c>
      <c r="V75" t="s">
        <v>44</v>
      </c>
      <c r="W75" t="s">
        <v>530</v>
      </c>
    </row>
    <row r="76" spans="1:23" ht="24.75" customHeight="1" x14ac:dyDescent="0.35">
      <c r="A76" t="s">
        <v>234</v>
      </c>
      <c r="B76" t="s">
        <v>622</v>
      </c>
      <c r="C76" t="s">
        <v>25</v>
      </c>
      <c r="D76" t="s">
        <v>26</v>
      </c>
      <c r="E76" t="s">
        <v>27</v>
      </c>
      <c r="F76" t="s">
        <v>28</v>
      </c>
      <c r="G76" t="s">
        <v>483</v>
      </c>
      <c r="H76" t="s">
        <v>577</v>
      </c>
      <c r="I76" t="s">
        <v>487</v>
      </c>
      <c r="J76">
        <v>4</v>
      </c>
      <c r="K76" t="s">
        <v>488</v>
      </c>
      <c r="L76" t="s">
        <v>67</v>
      </c>
      <c r="M76" t="s">
        <v>33</v>
      </c>
      <c r="N76" t="s">
        <v>483</v>
      </c>
      <c r="O76" t="s">
        <v>57</v>
      </c>
      <c r="P76" t="s">
        <v>572</v>
      </c>
      <c r="Q76" t="s">
        <v>36</v>
      </c>
      <c r="R76" t="s">
        <v>37</v>
      </c>
      <c r="S76" t="s">
        <v>38</v>
      </c>
      <c r="T76" t="s">
        <v>38</v>
      </c>
      <c r="U76" t="s">
        <v>498</v>
      </c>
      <c r="V76" t="s">
        <v>44</v>
      </c>
      <c r="W76" t="s">
        <v>165</v>
      </c>
    </row>
    <row r="77" spans="1:23" ht="24.75" customHeight="1" x14ac:dyDescent="0.35">
      <c r="A77" t="s">
        <v>236</v>
      </c>
      <c r="B77" t="s">
        <v>623</v>
      </c>
      <c r="C77" t="s">
        <v>106</v>
      </c>
      <c r="D77" t="s">
        <v>26</v>
      </c>
      <c r="E77" t="s">
        <v>27</v>
      </c>
      <c r="F77" t="s">
        <v>28</v>
      </c>
      <c r="G77" t="s">
        <v>483</v>
      </c>
      <c r="H77" t="s">
        <v>238</v>
      </c>
      <c r="I77" t="s">
        <v>56</v>
      </c>
      <c r="J77">
        <v>3</v>
      </c>
      <c r="K77" t="s">
        <v>51</v>
      </c>
      <c r="L77" t="s">
        <v>52</v>
      </c>
      <c r="M77" t="s">
        <v>563</v>
      </c>
      <c r="N77" t="s">
        <v>52</v>
      </c>
      <c r="O77" t="s">
        <v>494</v>
      </c>
      <c r="P77" t="s">
        <v>35</v>
      </c>
      <c r="Q77" t="s">
        <v>43</v>
      </c>
      <c r="R77" t="s">
        <v>53</v>
      </c>
      <c r="S77" t="s">
        <v>38</v>
      </c>
      <c r="T77" t="s">
        <v>38</v>
      </c>
      <c r="U77" t="s">
        <v>39</v>
      </c>
      <c r="V77" t="s">
        <v>44</v>
      </c>
      <c r="W77" t="s">
        <v>507</v>
      </c>
    </row>
    <row r="78" spans="1:23" ht="24.75" customHeight="1" x14ac:dyDescent="0.35">
      <c r="A78" t="s">
        <v>239</v>
      </c>
      <c r="B78" t="s">
        <v>624</v>
      </c>
      <c r="C78" t="s">
        <v>60</v>
      </c>
      <c r="D78" t="s">
        <v>26</v>
      </c>
      <c r="E78" t="s">
        <v>61</v>
      </c>
      <c r="F78" t="s">
        <v>28</v>
      </c>
      <c r="G78" t="s">
        <v>483</v>
      </c>
      <c r="H78" t="s">
        <v>544</v>
      </c>
      <c r="I78" t="s">
        <v>30</v>
      </c>
      <c r="J78">
        <v>2</v>
      </c>
      <c r="K78" t="s">
        <v>51</v>
      </c>
      <c r="L78" t="s">
        <v>52</v>
      </c>
      <c r="M78" t="s">
        <v>506</v>
      </c>
      <c r="N78" t="s">
        <v>52</v>
      </c>
      <c r="O78" t="s">
        <v>141</v>
      </c>
      <c r="P78" t="s">
        <v>35</v>
      </c>
      <c r="Q78" t="s">
        <v>43</v>
      </c>
      <c r="R78" t="s">
        <v>37</v>
      </c>
      <c r="S78" t="s">
        <v>38</v>
      </c>
      <c r="T78" t="s">
        <v>38</v>
      </c>
      <c r="U78" t="s">
        <v>511</v>
      </c>
      <c r="V78" t="s">
        <v>38</v>
      </c>
      <c r="W78" t="s">
        <v>489</v>
      </c>
    </row>
    <row r="79" spans="1:23" ht="24.75" customHeight="1" x14ac:dyDescent="0.35">
      <c r="A79" t="s">
        <v>241</v>
      </c>
      <c r="B79" t="s">
        <v>625</v>
      </c>
      <c r="C79" t="s">
        <v>42</v>
      </c>
      <c r="D79" t="s">
        <v>26</v>
      </c>
      <c r="E79" t="s">
        <v>27</v>
      </c>
      <c r="F79" t="s">
        <v>28</v>
      </c>
      <c r="G79" t="s">
        <v>483</v>
      </c>
      <c r="H79" t="s">
        <v>520</v>
      </c>
      <c r="I79" t="s">
        <v>487</v>
      </c>
      <c r="J79">
        <v>1</v>
      </c>
      <c r="K79" t="s">
        <v>488</v>
      </c>
      <c r="L79" t="s">
        <v>67</v>
      </c>
      <c r="M79" t="s">
        <v>514</v>
      </c>
      <c r="N79" t="s">
        <v>483</v>
      </c>
      <c r="O79" t="s">
        <v>34</v>
      </c>
      <c r="P79" t="s">
        <v>35</v>
      </c>
      <c r="Q79" t="s">
        <v>546</v>
      </c>
      <c r="R79" t="s">
        <v>37</v>
      </c>
      <c r="S79" t="s">
        <v>38</v>
      </c>
      <c r="T79" t="s">
        <v>38</v>
      </c>
      <c r="U79" t="s">
        <v>511</v>
      </c>
      <c r="V79" t="s">
        <v>38</v>
      </c>
      <c r="W79" t="s">
        <v>507</v>
      </c>
    </row>
    <row r="80" spans="1:23" ht="24.75" customHeight="1" x14ac:dyDescent="0.35">
      <c r="A80" t="s">
        <v>243</v>
      </c>
      <c r="B80" t="s">
        <v>626</v>
      </c>
      <c r="C80" t="s">
        <v>42</v>
      </c>
      <c r="D80" t="s">
        <v>26</v>
      </c>
      <c r="E80" t="s">
        <v>50</v>
      </c>
      <c r="F80" t="s">
        <v>28</v>
      </c>
      <c r="G80" t="s">
        <v>483</v>
      </c>
      <c r="H80" t="s">
        <v>627</v>
      </c>
      <c r="I80" t="s">
        <v>487</v>
      </c>
      <c r="J80">
        <v>2</v>
      </c>
      <c r="K80" t="s">
        <v>31</v>
      </c>
      <c r="L80" t="s">
        <v>45</v>
      </c>
      <c r="M80" t="s">
        <v>493</v>
      </c>
      <c r="N80" t="s">
        <v>483</v>
      </c>
      <c r="O80" t="s">
        <v>141</v>
      </c>
      <c r="P80" t="s">
        <v>497</v>
      </c>
      <c r="Q80" t="s">
        <v>546</v>
      </c>
      <c r="R80" t="s">
        <v>37</v>
      </c>
      <c r="S80" t="s">
        <v>38</v>
      </c>
      <c r="T80" t="s">
        <v>38</v>
      </c>
      <c r="U80" t="s">
        <v>511</v>
      </c>
      <c r="V80" t="s">
        <v>44</v>
      </c>
      <c r="W80" t="s">
        <v>532</v>
      </c>
    </row>
    <row r="81" spans="1:23" ht="24.75" customHeight="1" x14ac:dyDescent="0.35">
      <c r="A81" t="s">
        <v>245</v>
      </c>
      <c r="B81" t="s">
        <v>628</v>
      </c>
      <c r="C81" t="s">
        <v>42</v>
      </c>
      <c r="D81" t="s">
        <v>109</v>
      </c>
      <c r="E81" t="s">
        <v>27</v>
      </c>
      <c r="F81" t="s">
        <v>28</v>
      </c>
      <c r="G81" t="s">
        <v>483</v>
      </c>
      <c r="H81" t="s">
        <v>529</v>
      </c>
      <c r="I81" t="s">
        <v>56</v>
      </c>
      <c r="J81">
        <v>2</v>
      </c>
      <c r="K81" t="s">
        <v>51</v>
      </c>
      <c r="L81" t="s">
        <v>153</v>
      </c>
      <c r="M81" t="s">
        <v>33</v>
      </c>
      <c r="N81" t="s">
        <v>52</v>
      </c>
      <c r="O81" t="s">
        <v>494</v>
      </c>
      <c r="P81" t="s">
        <v>497</v>
      </c>
      <c r="Q81" t="s">
        <v>36</v>
      </c>
      <c r="R81" t="s">
        <v>53</v>
      </c>
      <c r="S81" t="s">
        <v>38</v>
      </c>
      <c r="T81" t="s">
        <v>38</v>
      </c>
      <c r="U81" t="s">
        <v>39</v>
      </c>
      <c r="V81" t="s">
        <v>38</v>
      </c>
      <c r="W81" t="s">
        <v>499</v>
      </c>
    </row>
    <row r="82" spans="1:23" ht="24.75" customHeight="1" x14ac:dyDescent="0.35">
      <c r="A82" t="s">
        <v>247</v>
      </c>
      <c r="B82" t="s">
        <v>629</v>
      </c>
      <c r="C82" t="s">
        <v>42</v>
      </c>
      <c r="D82" t="s">
        <v>26</v>
      </c>
      <c r="E82" t="s">
        <v>27</v>
      </c>
      <c r="F82" t="s">
        <v>28</v>
      </c>
      <c r="G82" t="s">
        <v>483</v>
      </c>
      <c r="H82" t="s">
        <v>630</v>
      </c>
      <c r="I82" t="s">
        <v>30</v>
      </c>
      <c r="J82">
        <v>3</v>
      </c>
      <c r="K82" t="s">
        <v>31</v>
      </c>
      <c r="L82" t="s">
        <v>153</v>
      </c>
      <c r="M82" t="s">
        <v>33</v>
      </c>
      <c r="N82" t="s">
        <v>32</v>
      </c>
      <c r="O82" t="s">
        <v>57</v>
      </c>
      <c r="P82" t="s">
        <v>497</v>
      </c>
      <c r="Q82" t="s">
        <v>546</v>
      </c>
      <c r="R82" t="s">
        <v>164</v>
      </c>
      <c r="S82" t="s">
        <v>38</v>
      </c>
      <c r="T82" t="s">
        <v>38</v>
      </c>
      <c r="U82" t="s">
        <v>498</v>
      </c>
      <c r="V82" t="s">
        <v>38</v>
      </c>
      <c r="W82" t="s">
        <v>165</v>
      </c>
    </row>
    <row r="83" spans="1:23" ht="24.75" customHeight="1" x14ac:dyDescent="0.35">
      <c r="A83" t="s">
        <v>249</v>
      </c>
      <c r="B83" t="s">
        <v>631</v>
      </c>
      <c r="C83" t="s">
        <v>42</v>
      </c>
      <c r="D83" t="s">
        <v>26</v>
      </c>
      <c r="E83" t="s">
        <v>27</v>
      </c>
      <c r="F83" t="s">
        <v>28</v>
      </c>
      <c r="G83" t="s">
        <v>483</v>
      </c>
      <c r="H83" t="s">
        <v>627</v>
      </c>
      <c r="I83" t="s">
        <v>487</v>
      </c>
      <c r="J83">
        <v>1</v>
      </c>
      <c r="K83" t="s">
        <v>488</v>
      </c>
      <c r="L83" t="s">
        <v>67</v>
      </c>
      <c r="M83" t="s">
        <v>503</v>
      </c>
      <c r="N83" t="s">
        <v>483</v>
      </c>
      <c r="O83" t="s">
        <v>57</v>
      </c>
      <c r="P83" t="s">
        <v>572</v>
      </c>
      <c r="Q83" t="s">
        <v>546</v>
      </c>
      <c r="R83" t="s">
        <v>37</v>
      </c>
      <c r="S83" t="s">
        <v>38</v>
      </c>
      <c r="T83" t="s">
        <v>38</v>
      </c>
      <c r="U83" t="s">
        <v>498</v>
      </c>
      <c r="V83" t="s">
        <v>44</v>
      </c>
      <c r="W83" t="s">
        <v>543</v>
      </c>
    </row>
    <row r="84" spans="1:23" ht="24.75" customHeight="1" x14ac:dyDescent="0.35">
      <c r="A84" t="s">
        <v>251</v>
      </c>
      <c r="B84" t="s">
        <v>632</v>
      </c>
      <c r="C84" t="s">
        <v>42</v>
      </c>
      <c r="D84" t="s">
        <v>49</v>
      </c>
      <c r="E84" t="s">
        <v>27</v>
      </c>
      <c r="F84" t="s">
        <v>28</v>
      </c>
      <c r="G84" t="s">
        <v>483</v>
      </c>
      <c r="H84" t="s">
        <v>170</v>
      </c>
      <c r="I84" t="s">
        <v>51</v>
      </c>
      <c r="J84">
        <v>2</v>
      </c>
      <c r="K84" t="s">
        <v>51</v>
      </c>
      <c r="L84" t="s">
        <v>67</v>
      </c>
      <c r="M84" t="s">
        <v>33</v>
      </c>
      <c r="N84" t="s">
        <v>32</v>
      </c>
      <c r="O84" t="s">
        <v>57</v>
      </c>
      <c r="P84" t="s">
        <v>35</v>
      </c>
      <c r="Q84" t="s">
        <v>43</v>
      </c>
      <c r="R84" t="s">
        <v>101</v>
      </c>
      <c r="S84" t="s">
        <v>38</v>
      </c>
      <c r="T84" t="s">
        <v>38</v>
      </c>
      <c r="U84" t="s">
        <v>498</v>
      </c>
      <c r="V84" t="s">
        <v>38</v>
      </c>
      <c r="W84" t="s">
        <v>530</v>
      </c>
    </row>
    <row r="85" spans="1:23" ht="24.75" customHeight="1" x14ac:dyDescent="0.35">
      <c r="A85" t="s">
        <v>253</v>
      </c>
      <c r="B85" t="s">
        <v>633</v>
      </c>
      <c r="C85" t="s">
        <v>48</v>
      </c>
      <c r="D85" t="s">
        <v>26</v>
      </c>
      <c r="E85" t="s">
        <v>27</v>
      </c>
      <c r="F85" t="s">
        <v>28</v>
      </c>
      <c r="G85" t="s">
        <v>483</v>
      </c>
      <c r="H85" t="s">
        <v>544</v>
      </c>
      <c r="I85" t="s">
        <v>30</v>
      </c>
      <c r="J85">
        <v>2</v>
      </c>
      <c r="K85" t="s">
        <v>31</v>
      </c>
      <c r="L85" t="s">
        <v>32</v>
      </c>
      <c r="M85" t="s">
        <v>524</v>
      </c>
      <c r="N85" t="s">
        <v>32</v>
      </c>
      <c r="O85" t="s">
        <v>494</v>
      </c>
      <c r="P85" t="s">
        <v>35</v>
      </c>
      <c r="Q85" t="s">
        <v>36</v>
      </c>
      <c r="R85" t="s">
        <v>53</v>
      </c>
      <c r="S85" t="s">
        <v>38</v>
      </c>
      <c r="T85" t="s">
        <v>38</v>
      </c>
      <c r="U85" t="s">
        <v>511</v>
      </c>
      <c r="V85" t="s">
        <v>38</v>
      </c>
      <c r="W85" t="s">
        <v>499</v>
      </c>
    </row>
    <row r="86" spans="1:23" ht="24.75" customHeight="1" x14ac:dyDescent="0.35">
      <c r="A86" t="s">
        <v>255</v>
      </c>
      <c r="B86" t="s">
        <v>634</v>
      </c>
      <c r="C86" t="s">
        <v>48</v>
      </c>
      <c r="D86" t="s">
        <v>26</v>
      </c>
      <c r="E86" t="s">
        <v>27</v>
      </c>
      <c r="F86" t="s">
        <v>62</v>
      </c>
      <c r="G86" t="s">
        <v>483</v>
      </c>
      <c r="H86" t="s">
        <v>486</v>
      </c>
      <c r="I86" t="s">
        <v>487</v>
      </c>
      <c r="J86">
        <v>2</v>
      </c>
      <c r="K86" t="s">
        <v>31</v>
      </c>
      <c r="L86" t="s">
        <v>32</v>
      </c>
      <c r="M86" t="s">
        <v>33</v>
      </c>
      <c r="N86" t="s">
        <v>32</v>
      </c>
      <c r="O86" t="s">
        <v>57</v>
      </c>
      <c r="P86" t="s">
        <v>35</v>
      </c>
      <c r="Q86" t="s">
        <v>43</v>
      </c>
      <c r="R86" t="s">
        <v>53</v>
      </c>
      <c r="S86" t="s">
        <v>44</v>
      </c>
      <c r="T86" t="s">
        <v>44</v>
      </c>
      <c r="U86" t="s">
        <v>511</v>
      </c>
      <c r="V86" t="s">
        <v>38</v>
      </c>
      <c r="W86" t="s">
        <v>490</v>
      </c>
    </row>
    <row r="87" spans="1:23" ht="24.75" customHeight="1" x14ac:dyDescent="0.35">
      <c r="A87" t="s">
        <v>257</v>
      </c>
      <c r="B87" t="s">
        <v>635</v>
      </c>
      <c r="C87" t="s">
        <v>48</v>
      </c>
      <c r="D87" t="s">
        <v>26</v>
      </c>
      <c r="E87" t="s">
        <v>27</v>
      </c>
      <c r="F87" t="s">
        <v>28</v>
      </c>
      <c r="G87" t="s">
        <v>483</v>
      </c>
      <c r="H87" t="s">
        <v>523</v>
      </c>
      <c r="I87" t="s">
        <v>487</v>
      </c>
      <c r="J87">
        <v>2</v>
      </c>
      <c r="K87" t="s">
        <v>488</v>
      </c>
      <c r="L87" t="s">
        <v>153</v>
      </c>
      <c r="M87" t="s">
        <v>524</v>
      </c>
      <c r="N87" t="s">
        <v>32</v>
      </c>
      <c r="O87" t="s">
        <v>494</v>
      </c>
      <c r="P87" t="s">
        <v>572</v>
      </c>
      <c r="Q87" t="s">
        <v>43</v>
      </c>
      <c r="R87" t="s">
        <v>101</v>
      </c>
      <c r="S87" t="s">
        <v>38</v>
      </c>
      <c r="T87" t="s">
        <v>38</v>
      </c>
      <c r="U87" t="s">
        <v>39</v>
      </c>
      <c r="V87" t="s">
        <v>38</v>
      </c>
      <c r="W87" t="s">
        <v>484</v>
      </c>
    </row>
    <row r="88" spans="1:23" ht="24.75" customHeight="1" x14ac:dyDescent="0.35">
      <c r="A88" t="s">
        <v>259</v>
      </c>
      <c r="B88" t="s">
        <v>636</v>
      </c>
      <c r="C88" t="s">
        <v>42</v>
      </c>
      <c r="D88" t="s">
        <v>76</v>
      </c>
      <c r="E88" t="s">
        <v>50</v>
      </c>
      <c r="F88" t="s">
        <v>28</v>
      </c>
      <c r="G88" t="s">
        <v>483</v>
      </c>
      <c r="H88" t="s">
        <v>637</v>
      </c>
      <c r="I88" t="s">
        <v>487</v>
      </c>
      <c r="J88">
        <v>3</v>
      </c>
      <c r="K88" t="s">
        <v>31</v>
      </c>
      <c r="L88" t="s">
        <v>32</v>
      </c>
      <c r="M88" t="s">
        <v>33</v>
      </c>
      <c r="N88" t="s">
        <v>32</v>
      </c>
      <c r="O88" t="s">
        <v>141</v>
      </c>
      <c r="P88" t="s">
        <v>497</v>
      </c>
      <c r="Q88" t="s">
        <v>546</v>
      </c>
      <c r="R88" t="s">
        <v>101</v>
      </c>
      <c r="S88" t="s">
        <v>38</v>
      </c>
      <c r="T88" t="s">
        <v>38</v>
      </c>
      <c r="U88" t="s">
        <v>511</v>
      </c>
      <c r="V88" t="s">
        <v>38</v>
      </c>
      <c r="W88" t="s">
        <v>547</v>
      </c>
    </row>
    <row r="89" spans="1:23" ht="24.75" customHeight="1" x14ac:dyDescent="0.35">
      <c r="A89" t="s">
        <v>261</v>
      </c>
      <c r="B89" t="s">
        <v>638</v>
      </c>
      <c r="C89" t="s">
        <v>48</v>
      </c>
      <c r="D89" t="s">
        <v>26</v>
      </c>
      <c r="E89" t="s">
        <v>50</v>
      </c>
      <c r="F89" t="s">
        <v>28</v>
      </c>
      <c r="G89" t="s">
        <v>483</v>
      </c>
      <c r="H89" t="s">
        <v>71</v>
      </c>
      <c r="I89" t="s">
        <v>51</v>
      </c>
      <c r="J89">
        <v>2</v>
      </c>
      <c r="K89" t="s">
        <v>51</v>
      </c>
      <c r="L89" t="s">
        <v>32</v>
      </c>
      <c r="M89" t="s">
        <v>563</v>
      </c>
      <c r="N89" t="s">
        <v>52</v>
      </c>
      <c r="O89" t="s">
        <v>57</v>
      </c>
      <c r="P89" t="s">
        <v>497</v>
      </c>
      <c r="Q89" t="s">
        <v>43</v>
      </c>
      <c r="R89" t="s">
        <v>101</v>
      </c>
      <c r="S89" t="s">
        <v>38</v>
      </c>
      <c r="T89" t="s">
        <v>38</v>
      </c>
      <c r="U89" t="s">
        <v>192</v>
      </c>
      <c r="V89" t="s">
        <v>38</v>
      </c>
      <c r="W89" t="s">
        <v>495</v>
      </c>
    </row>
    <row r="90" spans="1:23" ht="24.75" customHeight="1" x14ac:dyDescent="0.35">
      <c r="A90" t="s">
        <v>261</v>
      </c>
      <c r="B90" t="s">
        <v>639</v>
      </c>
      <c r="C90" t="s">
        <v>42</v>
      </c>
      <c r="D90" t="s">
        <v>26</v>
      </c>
      <c r="E90" t="s">
        <v>50</v>
      </c>
      <c r="F90" t="s">
        <v>28</v>
      </c>
      <c r="G90" t="s">
        <v>483</v>
      </c>
      <c r="H90" t="s">
        <v>486</v>
      </c>
      <c r="I90" t="s">
        <v>30</v>
      </c>
      <c r="J90">
        <v>1</v>
      </c>
      <c r="K90" t="s">
        <v>31</v>
      </c>
      <c r="L90" t="s">
        <v>52</v>
      </c>
      <c r="M90" t="s">
        <v>591</v>
      </c>
      <c r="N90" t="s">
        <v>32</v>
      </c>
      <c r="O90" t="s">
        <v>57</v>
      </c>
      <c r="P90" t="s">
        <v>497</v>
      </c>
      <c r="Q90" t="s">
        <v>36</v>
      </c>
      <c r="R90" t="s">
        <v>37</v>
      </c>
      <c r="S90" t="s">
        <v>44</v>
      </c>
      <c r="T90" t="s">
        <v>44</v>
      </c>
      <c r="U90" t="s">
        <v>264</v>
      </c>
      <c r="V90" t="s">
        <v>44</v>
      </c>
      <c r="W90" t="s">
        <v>490</v>
      </c>
    </row>
    <row r="91" spans="1:23" ht="24.75" customHeight="1" x14ac:dyDescent="0.35">
      <c r="A91" t="s">
        <v>265</v>
      </c>
      <c r="B91" t="s">
        <v>640</v>
      </c>
      <c r="C91" t="s">
        <v>48</v>
      </c>
      <c r="D91" t="s">
        <v>26</v>
      </c>
      <c r="E91" t="s">
        <v>27</v>
      </c>
      <c r="F91" t="s">
        <v>28</v>
      </c>
      <c r="G91" t="s">
        <v>483</v>
      </c>
      <c r="H91" t="s">
        <v>544</v>
      </c>
      <c r="I91" t="s">
        <v>487</v>
      </c>
      <c r="J91">
        <v>1</v>
      </c>
      <c r="K91" t="s">
        <v>488</v>
      </c>
      <c r="L91" t="s">
        <v>67</v>
      </c>
      <c r="M91" t="s">
        <v>503</v>
      </c>
      <c r="N91" t="s">
        <v>483</v>
      </c>
      <c r="O91" t="s">
        <v>494</v>
      </c>
      <c r="P91" t="s">
        <v>35</v>
      </c>
      <c r="Q91" t="s">
        <v>546</v>
      </c>
      <c r="R91" t="s">
        <v>37</v>
      </c>
      <c r="S91" t="s">
        <v>38</v>
      </c>
      <c r="T91" t="s">
        <v>44</v>
      </c>
      <c r="U91" t="s">
        <v>498</v>
      </c>
      <c r="V91" t="s">
        <v>44</v>
      </c>
      <c r="W91" t="s">
        <v>499</v>
      </c>
    </row>
    <row r="92" spans="1:23" ht="24.75" customHeight="1" x14ac:dyDescent="0.35">
      <c r="A92" t="s">
        <v>267</v>
      </c>
      <c r="B92" t="s">
        <v>641</v>
      </c>
      <c r="C92" t="s">
        <v>177</v>
      </c>
      <c r="D92" t="s">
        <v>49</v>
      </c>
      <c r="E92" t="s">
        <v>27</v>
      </c>
      <c r="F92" t="s">
        <v>66</v>
      </c>
      <c r="G92" t="s">
        <v>32</v>
      </c>
      <c r="H92" t="s">
        <v>588</v>
      </c>
      <c r="I92" t="s">
        <v>51</v>
      </c>
      <c r="J92">
        <v>3</v>
      </c>
      <c r="K92" t="s">
        <v>51</v>
      </c>
      <c r="L92" t="s">
        <v>52</v>
      </c>
      <c r="M92" t="s">
        <v>33</v>
      </c>
      <c r="N92" t="s">
        <v>32</v>
      </c>
      <c r="O92" t="s">
        <v>34</v>
      </c>
      <c r="P92" t="s">
        <v>35</v>
      </c>
      <c r="Q92" t="s">
        <v>43</v>
      </c>
      <c r="R92" t="s">
        <v>53</v>
      </c>
      <c r="S92" t="s">
        <v>44</v>
      </c>
      <c r="T92" t="s">
        <v>38</v>
      </c>
      <c r="U92" t="s">
        <v>39</v>
      </c>
      <c r="V92" t="s">
        <v>38</v>
      </c>
      <c r="W92" t="s">
        <v>530</v>
      </c>
    </row>
    <row r="93" spans="1:23" ht="24.75" customHeight="1" x14ac:dyDescent="0.35">
      <c r="A93" t="s">
        <v>269</v>
      </c>
      <c r="B93" t="s">
        <v>642</v>
      </c>
      <c r="C93" t="s">
        <v>177</v>
      </c>
      <c r="D93" t="s">
        <v>26</v>
      </c>
      <c r="E93" t="s">
        <v>27</v>
      </c>
      <c r="F93" t="s">
        <v>28</v>
      </c>
      <c r="G93" t="s">
        <v>483</v>
      </c>
      <c r="H93" t="s">
        <v>643</v>
      </c>
      <c r="I93" t="s">
        <v>30</v>
      </c>
      <c r="J93">
        <v>2</v>
      </c>
      <c r="K93" t="s">
        <v>51</v>
      </c>
      <c r="L93" t="s">
        <v>32</v>
      </c>
      <c r="M93" t="s">
        <v>567</v>
      </c>
      <c r="N93" t="s">
        <v>32</v>
      </c>
      <c r="O93" t="s">
        <v>494</v>
      </c>
      <c r="P93" t="s">
        <v>35</v>
      </c>
      <c r="Q93" t="s">
        <v>36</v>
      </c>
      <c r="R93" t="s">
        <v>101</v>
      </c>
      <c r="S93" t="s">
        <v>38</v>
      </c>
      <c r="T93" t="s">
        <v>44</v>
      </c>
      <c r="U93" t="s">
        <v>511</v>
      </c>
      <c r="V93" t="s">
        <v>44</v>
      </c>
      <c r="W93" t="s">
        <v>535</v>
      </c>
    </row>
    <row r="94" spans="1:23" ht="24.75" customHeight="1" x14ac:dyDescent="0.35">
      <c r="A94" t="s">
        <v>271</v>
      </c>
      <c r="B94" t="s">
        <v>644</v>
      </c>
      <c r="C94" t="s">
        <v>48</v>
      </c>
      <c r="D94" t="s">
        <v>49</v>
      </c>
      <c r="E94" t="s">
        <v>61</v>
      </c>
      <c r="F94" t="s">
        <v>66</v>
      </c>
      <c r="G94" t="s">
        <v>483</v>
      </c>
      <c r="H94" t="s">
        <v>544</v>
      </c>
      <c r="I94" t="s">
        <v>30</v>
      </c>
      <c r="J94">
        <v>3</v>
      </c>
      <c r="K94" t="s">
        <v>51</v>
      </c>
      <c r="L94" t="s">
        <v>32</v>
      </c>
      <c r="M94" t="s">
        <v>524</v>
      </c>
      <c r="N94" t="s">
        <v>483</v>
      </c>
      <c r="O94" t="s">
        <v>57</v>
      </c>
      <c r="P94" t="s">
        <v>35</v>
      </c>
      <c r="Q94" t="s">
        <v>43</v>
      </c>
      <c r="R94" t="s">
        <v>53</v>
      </c>
      <c r="S94" t="s">
        <v>38</v>
      </c>
      <c r="T94" t="s">
        <v>38</v>
      </c>
      <c r="U94" t="s">
        <v>498</v>
      </c>
      <c r="V94" t="s">
        <v>38</v>
      </c>
      <c r="W94" t="s">
        <v>500</v>
      </c>
    </row>
    <row r="95" spans="1:23" ht="24.75" customHeight="1" x14ac:dyDescent="0.35">
      <c r="A95" t="s">
        <v>273</v>
      </c>
      <c r="B95" t="s">
        <v>645</v>
      </c>
      <c r="C95" t="s">
        <v>42</v>
      </c>
      <c r="D95" t="s">
        <v>26</v>
      </c>
      <c r="E95" t="s">
        <v>27</v>
      </c>
      <c r="F95" t="s">
        <v>28</v>
      </c>
      <c r="G95" t="s">
        <v>483</v>
      </c>
      <c r="H95" t="s">
        <v>646</v>
      </c>
      <c r="I95" t="s">
        <v>51</v>
      </c>
      <c r="J95">
        <v>3</v>
      </c>
      <c r="K95" t="s">
        <v>51</v>
      </c>
      <c r="L95" t="s">
        <v>32</v>
      </c>
      <c r="M95" t="s">
        <v>506</v>
      </c>
      <c r="N95" t="s">
        <v>32</v>
      </c>
      <c r="O95" t="s">
        <v>494</v>
      </c>
      <c r="P95" t="s">
        <v>35</v>
      </c>
      <c r="Q95" t="s">
        <v>43</v>
      </c>
      <c r="R95" t="s">
        <v>37</v>
      </c>
      <c r="S95" t="s">
        <v>38</v>
      </c>
      <c r="T95" t="s">
        <v>38</v>
      </c>
      <c r="U95" t="s">
        <v>39</v>
      </c>
      <c r="V95" t="s">
        <v>44</v>
      </c>
      <c r="W95" t="s">
        <v>495</v>
      </c>
    </row>
    <row r="96" spans="1:23" ht="24.75" customHeight="1" x14ac:dyDescent="0.35">
      <c r="A96" t="s">
        <v>275</v>
      </c>
      <c r="B96" t="s">
        <v>647</v>
      </c>
      <c r="C96" t="s">
        <v>48</v>
      </c>
      <c r="D96" t="s">
        <v>49</v>
      </c>
      <c r="E96" t="s">
        <v>27</v>
      </c>
      <c r="F96" t="s">
        <v>66</v>
      </c>
      <c r="G96" t="s">
        <v>483</v>
      </c>
      <c r="H96" t="s">
        <v>569</v>
      </c>
      <c r="I96" t="s">
        <v>51</v>
      </c>
      <c r="J96">
        <v>3</v>
      </c>
      <c r="K96" t="s">
        <v>51</v>
      </c>
      <c r="L96" t="s">
        <v>32</v>
      </c>
      <c r="M96" t="s">
        <v>33</v>
      </c>
      <c r="N96" t="s">
        <v>52</v>
      </c>
      <c r="O96" t="s">
        <v>494</v>
      </c>
      <c r="P96" t="s">
        <v>497</v>
      </c>
      <c r="Q96" t="s">
        <v>43</v>
      </c>
      <c r="R96" t="s">
        <v>37</v>
      </c>
      <c r="S96" t="s">
        <v>38</v>
      </c>
      <c r="T96" t="s">
        <v>38</v>
      </c>
      <c r="U96" t="s">
        <v>498</v>
      </c>
      <c r="V96" t="s">
        <v>38</v>
      </c>
      <c r="W96" t="s">
        <v>499</v>
      </c>
    </row>
    <row r="97" spans="1:23" ht="24.75" customHeight="1" x14ac:dyDescent="0.35">
      <c r="A97" t="s">
        <v>277</v>
      </c>
      <c r="B97" t="s">
        <v>648</v>
      </c>
      <c r="C97" t="s">
        <v>60</v>
      </c>
      <c r="D97" t="s">
        <v>279</v>
      </c>
      <c r="E97" t="s">
        <v>27</v>
      </c>
      <c r="F97" t="s">
        <v>28</v>
      </c>
      <c r="G97" t="s">
        <v>32</v>
      </c>
      <c r="H97" t="s">
        <v>516</v>
      </c>
      <c r="I97" t="s">
        <v>51</v>
      </c>
      <c r="J97">
        <v>2</v>
      </c>
      <c r="K97" t="s">
        <v>51</v>
      </c>
      <c r="L97" t="s">
        <v>32</v>
      </c>
      <c r="M97" t="s">
        <v>503</v>
      </c>
      <c r="N97" t="s">
        <v>483</v>
      </c>
      <c r="O97" t="s">
        <v>141</v>
      </c>
      <c r="P97" t="s">
        <v>572</v>
      </c>
      <c r="Q97" t="s">
        <v>43</v>
      </c>
      <c r="R97" t="s">
        <v>53</v>
      </c>
      <c r="S97" t="s">
        <v>38</v>
      </c>
      <c r="T97" t="s">
        <v>38</v>
      </c>
      <c r="U97" t="s">
        <v>498</v>
      </c>
      <c r="V97" t="s">
        <v>38</v>
      </c>
      <c r="W97" t="s">
        <v>499</v>
      </c>
    </row>
    <row r="98" spans="1:23" ht="24.75" customHeight="1" x14ac:dyDescent="0.35">
      <c r="A98" t="s">
        <v>280</v>
      </c>
      <c r="B98" t="s">
        <v>649</v>
      </c>
      <c r="C98" t="s">
        <v>48</v>
      </c>
      <c r="D98" t="s">
        <v>134</v>
      </c>
      <c r="E98" t="s">
        <v>27</v>
      </c>
      <c r="F98" t="s">
        <v>66</v>
      </c>
      <c r="G98" t="s">
        <v>483</v>
      </c>
      <c r="H98" t="s">
        <v>545</v>
      </c>
      <c r="I98" t="s">
        <v>51</v>
      </c>
      <c r="J98">
        <v>3</v>
      </c>
      <c r="K98" t="s">
        <v>82</v>
      </c>
      <c r="L98" t="s">
        <v>52</v>
      </c>
      <c r="M98" t="s">
        <v>514</v>
      </c>
      <c r="N98" t="s">
        <v>52</v>
      </c>
      <c r="O98" t="s">
        <v>141</v>
      </c>
      <c r="P98" t="s">
        <v>35</v>
      </c>
      <c r="Q98" t="s">
        <v>43</v>
      </c>
      <c r="R98" t="s">
        <v>37</v>
      </c>
      <c r="S98" t="s">
        <v>38</v>
      </c>
      <c r="T98" t="s">
        <v>38</v>
      </c>
      <c r="U98" t="s">
        <v>39</v>
      </c>
      <c r="V98" t="s">
        <v>38</v>
      </c>
      <c r="W98" t="s">
        <v>495</v>
      </c>
    </row>
    <row r="99" spans="1:23" ht="24.75" customHeight="1" x14ac:dyDescent="0.35">
      <c r="A99" t="s">
        <v>282</v>
      </c>
      <c r="B99" t="s">
        <v>650</v>
      </c>
      <c r="C99" t="s">
        <v>177</v>
      </c>
      <c r="D99" t="s">
        <v>279</v>
      </c>
      <c r="E99" t="s">
        <v>27</v>
      </c>
      <c r="F99" t="s">
        <v>28</v>
      </c>
      <c r="G99" t="s">
        <v>483</v>
      </c>
      <c r="H99" t="s">
        <v>486</v>
      </c>
      <c r="I99" t="s">
        <v>30</v>
      </c>
      <c r="J99">
        <v>2</v>
      </c>
      <c r="K99" t="s">
        <v>31</v>
      </c>
      <c r="L99" t="s">
        <v>52</v>
      </c>
      <c r="M99" t="s">
        <v>33</v>
      </c>
      <c r="N99" t="s">
        <v>483</v>
      </c>
      <c r="O99" t="s">
        <v>494</v>
      </c>
      <c r="P99" t="s">
        <v>35</v>
      </c>
      <c r="Q99" t="s">
        <v>43</v>
      </c>
      <c r="R99" t="s">
        <v>53</v>
      </c>
      <c r="S99" t="s">
        <v>38</v>
      </c>
      <c r="T99" t="s">
        <v>38</v>
      </c>
      <c r="U99" t="s">
        <v>39</v>
      </c>
      <c r="V99" t="s">
        <v>38</v>
      </c>
      <c r="W99" t="s">
        <v>500</v>
      </c>
    </row>
    <row r="100" spans="1:23" ht="24.75" customHeight="1" x14ac:dyDescent="0.35">
      <c r="A100" t="s">
        <v>284</v>
      </c>
      <c r="B100" t="s">
        <v>651</v>
      </c>
      <c r="C100" t="s">
        <v>42</v>
      </c>
      <c r="D100" t="s">
        <v>100</v>
      </c>
      <c r="E100" t="s">
        <v>27</v>
      </c>
      <c r="F100" t="s">
        <v>62</v>
      </c>
      <c r="G100" t="s">
        <v>483</v>
      </c>
      <c r="H100" t="s">
        <v>652</v>
      </c>
      <c r="I100" t="s">
        <v>51</v>
      </c>
      <c r="J100">
        <v>3</v>
      </c>
      <c r="K100" t="s">
        <v>82</v>
      </c>
      <c r="L100" t="s">
        <v>52</v>
      </c>
      <c r="M100" t="s">
        <v>33</v>
      </c>
      <c r="N100" t="s">
        <v>52</v>
      </c>
      <c r="O100" t="s">
        <v>57</v>
      </c>
      <c r="P100" t="s">
        <v>35</v>
      </c>
      <c r="Q100" t="s">
        <v>43</v>
      </c>
      <c r="R100" t="s">
        <v>37</v>
      </c>
      <c r="S100" t="s">
        <v>38</v>
      </c>
      <c r="T100" t="s">
        <v>38</v>
      </c>
      <c r="U100" t="s">
        <v>511</v>
      </c>
      <c r="V100" t="s">
        <v>44</v>
      </c>
      <c r="W100" t="s">
        <v>490</v>
      </c>
    </row>
    <row r="101" spans="1:23" ht="24.75" customHeight="1" x14ac:dyDescent="0.35">
      <c r="A101" t="s">
        <v>286</v>
      </c>
      <c r="B101" t="s">
        <v>653</v>
      </c>
      <c r="C101" t="s">
        <v>60</v>
      </c>
      <c r="D101" t="s">
        <v>134</v>
      </c>
      <c r="E101" t="s">
        <v>27</v>
      </c>
      <c r="F101" t="s">
        <v>62</v>
      </c>
      <c r="G101" t="s">
        <v>483</v>
      </c>
      <c r="H101" t="s">
        <v>654</v>
      </c>
      <c r="I101" t="s">
        <v>51</v>
      </c>
      <c r="J101">
        <v>2</v>
      </c>
      <c r="K101" t="s">
        <v>51</v>
      </c>
      <c r="L101" t="s">
        <v>32</v>
      </c>
      <c r="M101" t="s">
        <v>542</v>
      </c>
      <c r="N101" t="s">
        <v>32</v>
      </c>
      <c r="O101" t="s">
        <v>57</v>
      </c>
      <c r="P101" t="s">
        <v>35</v>
      </c>
      <c r="Q101" t="s">
        <v>43</v>
      </c>
      <c r="R101" t="s">
        <v>53</v>
      </c>
      <c r="S101" t="s">
        <v>38</v>
      </c>
      <c r="T101" t="s">
        <v>38</v>
      </c>
      <c r="U101" t="s">
        <v>39</v>
      </c>
      <c r="V101" t="s">
        <v>38</v>
      </c>
      <c r="W101" t="s">
        <v>508</v>
      </c>
    </row>
    <row r="102" spans="1:23" ht="24.75" customHeight="1" x14ac:dyDescent="0.35">
      <c r="A102" t="s">
        <v>288</v>
      </c>
      <c r="B102" t="s">
        <v>655</v>
      </c>
      <c r="C102" t="s">
        <v>42</v>
      </c>
      <c r="D102" t="s">
        <v>26</v>
      </c>
      <c r="E102" t="s">
        <v>27</v>
      </c>
      <c r="F102" t="s">
        <v>66</v>
      </c>
      <c r="G102" t="s">
        <v>483</v>
      </c>
      <c r="H102" t="s">
        <v>627</v>
      </c>
      <c r="I102" t="s">
        <v>51</v>
      </c>
      <c r="J102">
        <v>4</v>
      </c>
      <c r="K102" t="s">
        <v>51</v>
      </c>
      <c r="L102" t="s">
        <v>52</v>
      </c>
      <c r="M102" t="s">
        <v>563</v>
      </c>
      <c r="N102" t="s">
        <v>52</v>
      </c>
      <c r="O102" t="s">
        <v>57</v>
      </c>
      <c r="P102" t="s">
        <v>35</v>
      </c>
      <c r="Q102" t="s">
        <v>43</v>
      </c>
      <c r="R102" t="s">
        <v>101</v>
      </c>
      <c r="S102" t="s">
        <v>38</v>
      </c>
      <c r="T102" t="s">
        <v>38</v>
      </c>
      <c r="U102" t="s">
        <v>498</v>
      </c>
      <c r="V102" t="s">
        <v>38</v>
      </c>
      <c r="W102" t="s">
        <v>535</v>
      </c>
    </row>
    <row r="103" spans="1:23" ht="24.75" customHeight="1" x14ac:dyDescent="0.35">
      <c r="A103" t="s">
        <v>290</v>
      </c>
      <c r="B103" t="s">
        <v>656</v>
      </c>
      <c r="C103" t="s">
        <v>60</v>
      </c>
      <c r="D103" t="s">
        <v>109</v>
      </c>
      <c r="E103" t="s">
        <v>27</v>
      </c>
      <c r="F103" t="s">
        <v>28</v>
      </c>
      <c r="G103" t="s">
        <v>483</v>
      </c>
      <c r="H103" t="s">
        <v>523</v>
      </c>
      <c r="I103" t="s">
        <v>51</v>
      </c>
      <c r="J103">
        <v>4</v>
      </c>
      <c r="K103" t="s">
        <v>51</v>
      </c>
      <c r="L103" t="s">
        <v>52</v>
      </c>
      <c r="M103" t="s">
        <v>514</v>
      </c>
      <c r="N103" t="s">
        <v>52</v>
      </c>
      <c r="O103" t="s">
        <v>57</v>
      </c>
      <c r="P103" t="s">
        <v>35</v>
      </c>
      <c r="Q103" t="s">
        <v>68</v>
      </c>
      <c r="R103" t="s">
        <v>53</v>
      </c>
      <c r="S103" t="s">
        <v>38</v>
      </c>
      <c r="T103" t="s">
        <v>38</v>
      </c>
      <c r="U103" t="s">
        <v>292</v>
      </c>
      <c r="V103" t="s">
        <v>38</v>
      </c>
      <c r="W103" t="s">
        <v>77</v>
      </c>
    </row>
    <row r="104" spans="1:23" ht="24.75" customHeight="1" x14ac:dyDescent="0.35">
      <c r="A104" t="s">
        <v>293</v>
      </c>
      <c r="B104" t="s">
        <v>657</v>
      </c>
      <c r="C104" t="s">
        <v>48</v>
      </c>
      <c r="D104" t="s">
        <v>26</v>
      </c>
      <c r="E104" t="s">
        <v>50</v>
      </c>
      <c r="F104" t="s">
        <v>66</v>
      </c>
      <c r="G104" t="s">
        <v>483</v>
      </c>
      <c r="H104" t="s">
        <v>544</v>
      </c>
      <c r="I104" t="s">
        <v>51</v>
      </c>
      <c r="J104">
        <v>3</v>
      </c>
      <c r="K104" t="s">
        <v>51</v>
      </c>
      <c r="L104" t="s">
        <v>32</v>
      </c>
      <c r="M104" t="s">
        <v>33</v>
      </c>
      <c r="N104" t="s">
        <v>483</v>
      </c>
      <c r="O104" t="s">
        <v>57</v>
      </c>
      <c r="P104" t="s">
        <v>35</v>
      </c>
      <c r="Q104" t="s">
        <v>43</v>
      </c>
      <c r="R104" t="s">
        <v>37</v>
      </c>
      <c r="S104" t="s">
        <v>38</v>
      </c>
      <c r="T104" t="s">
        <v>38</v>
      </c>
      <c r="U104" t="s">
        <v>39</v>
      </c>
      <c r="V104" t="s">
        <v>38</v>
      </c>
      <c r="W104" t="s">
        <v>495</v>
      </c>
    </row>
    <row r="105" spans="1:23" ht="24.75" customHeight="1" x14ac:dyDescent="0.35">
      <c r="A105" t="s">
        <v>295</v>
      </c>
      <c r="B105" t="s">
        <v>658</v>
      </c>
      <c r="C105" t="s">
        <v>42</v>
      </c>
      <c r="D105" t="s">
        <v>26</v>
      </c>
      <c r="E105" t="s">
        <v>27</v>
      </c>
      <c r="F105" t="s">
        <v>66</v>
      </c>
      <c r="G105" t="s">
        <v>483</v>
      </c>
      <c r="H105" t="s">
        <v>659</v>
      </c>
      <c r="I105" t="s">
        <v>51</v>
      </c>
      <c r="J105">
        <v>2</v>
      </c>
      <c r="K105" t="s">
        <v>31</v>
      </c>
      <c r="L105" t="s">
        <v>153</v>
      </c>
      <c r="M105" t="s">
        <v>591</v>
      </c>
      <c r="N105" t="s">
        <v>52</v>
      </c>
      <c r="O105" t="s">
        <v>494</v>
      </c>
      <c r="P105" t="s">
        <v>35</v>
      </c>
      <c r="Q105" t="s">
        <v>43</v>
      </c>
      <c r="R105" t="s">
        <v>37</v>
      </c>
      <c r="S105" t="s">
        <v>38</v>
      </c>
      <c r="T105" t="s">
        <v>38</v>
      </c>
      <c r="U105" t="s">
        <v>498</v>
      </c>
      <c r="V105" t="s">
        <v>38</v>
      </c>
      <c r="W105" t="s">
        <v>530</v>
      </c>
    </row>
    <row r="106" spans="1:23" ht="24.75" customHeight="1" x14ac:dyDescent="0.35">
      <c r="A106" t="s">
        <v>297</v>
      </c>
      <c r="B106" t="s">
        <v>660</v>
      </c>
      <c r="C106" t="s">
        <v>42</v>
      </c>
      <c r="D106" t="s">
        <v>100</v>
      </c>
      <c r="E106" t="s">
        <v>27</v>
      </c>
      <c r="F106" t="s">
        <v>62</v>
      </c>
      <c r="G106" t="s">
        <v>483</v>
      </c>
      <c r="H106" t="s">
        <v>127</v>
      </c>
      <c r="I106" t="s">
        <v>51</v>
      </c>
      <c r="J106">
        <v>2</v>
      </c>
      <c r="K106" t="s">
        <v>51</v>
      </c>
      <c r="L106" t="s">
        <v>52</v>
      </c>
      <c r="M106" t="s">
        <v>591</v>
      </c>
      <c r="N106" t="s">
        <v>52</v>
      </c>
      <c r="O106" t="s">
        <v>494</v>
      </c>
      <c r="P106" t="s">
        <v>35</v>
      </c>
      <c r="Q106" t="s">
        <v>43</v>
      </c>
      <c r="R106" t="s">
        <v>53</v>
      </c>
      <c r="S106" t="s">
        <v>44</v>
      </c>
      <c r="T106" t="s">
        <v>44</v>
      </c>
      <c r="U106" t="s">
        <v>498</v>
      </c>
      <c r="V106" t="s">
        <v>38</v>
      </c>
      <c r="W106" t="s">
        <v>530</v>
      </c>
    </row>
    <row r="107" spans="1:23" ht="24.75" customHeight="1" x14ac:dyDescent="0.35">
      <c r="A107" t="s">
        <v>299</v>
      </c>
      <c r="B107" t="s">
        <v>661</v>
      </c>
      <c r="C107" t="s">
        <v>42</v>
      </c>
      <c r="D107" t="s">
        <v>26</v>
      </c>
      <c r="E107" t="s">
        <v>27</v>
      </c>
      <c r="F107" t="s">
        <v>66</v>
      </c>
      <c r="G107" t="s">
        <v>301</v>
      </c>
      <c r="H107" t="s">
        <v>302</v>
      </c>
      <c r="I107" t="s">
        <v>51</v>
      </c>
      <c r="J107">
        <v>3</v>
      </c>
      <c r="K107" t="s">
        <v>51</v>
      </c>
      <c r="L107" t="s">
        <v>52</v>
      </c>
      <c r="M107" t="s">
        <v>591</v>
      </c>
      <c r="N107" t="s">
        <v>52</v>
      </c>
      <c r="O107" t="s">
        <v>494</v>
      </c>
      <c r="P107" t="s">
        <v>35</v>
      </c>
      <c r="Q107" t="s">
        <v>43</v>
      </c>
      <c r="R107" t="s">
        <v>101</v>
      </c>
      <c r="S107" t="s">
        <v>38</v>
      </c>
      <c r="T107" t="s">
        <v>44</v>
      </c>
      <c r="U107" t="s">
        <v>498</v>
      </c>
      <c r="V107" t="s">
        <v>44</v>
      </c>
      <c r="W107" t="s">
        <v>77</v>
      </c>
    </row>
    <row r="108" spans="1:23" ht="24.75" customHeight="1" x14ac:dyDescent="0.35">
      <c r="A108" t="s">
        <v>303</v>
      </c>
      <c r="B108" t="s">
        <v>662</v>
      </c>
      <c r="C108" t="s">
        <v>42</v>
      </c>
      <c r="D108" t="s">
        <v>26</v>
      </c>
      <c r="E108" t="s">
        <v>27</v>
      </c>
      <c r="F108" t="s">
        <v>66</v>
      </c>
      <c r="G108" t="s">
        <v>483</v>
      </c>
      <c r="H108" t="s">
        <v>663</v>
      </c>
      <c r="I108" t="s">
        <v>487</v>
      </c>
      <c r="J108">
        <v>1</v>
      </c>
      <c r="K108" t="s">
        <v>488</v>
      </c>
      <c r="L108" t="s">
        <v>67</v>
      </c>
      <c r="M108" t="s">
        <v>506</v>
      </c>
      <c r="N108" t="s">
        <v>483</v>
      </c>
      <c r="O108" t="s">
        <v>494</v>
      </c>
      <c r="P108" t="s">
        <v>570</v>
      </c>
      <c r="Q108" t="s">
        <v>36</v>
      </c>
      <c r="R108" t="s">
        <v>53</v>
      </c>
      <c r="S108" t="s">
        <v>38</v>
      </c>
      <c r="T108" t="s">
        <v>38</v>
      </c>
      <c r="U108" t="s">
        <v>498</v>
      </c>
      <c r="V108" t="s">
        <v>38</v>
      </c>
      <c r="W108" t="s">
        <v>543</v>
      </c>
    </row>
    <row r="109" spans="1:23" ht="24.75" customHeight="1" x14ac:dyDescent="0.35">
      <c r="A109" t="s">
        <v>305</v>
      </c>
      <c r="B109" t="s">
        <v>664</v>
      </c>
      <c r="C109" t="s">
        <v>25</v>
      </c>
      <c r="D109" t="s">
        <v>134</v>
      </c>
      <c r="E109" t="s">
        <v>27</v>
      </c>
      <c r="F109" t="s">
        <v>62</v>
      </c>
      <c r="G109" t="s">
        <v>483</v>
      </c>
      <c r="H109" t="s">
        <v>665</v>
      </c>
      <c r="I109" t="s">
        <v>307</v>
      </c>
      <c r="J109">
        <v>4</v>
      </c>
      <c r="K109" t="s">
        <v>488</v>
      </c>
      <c r="L109" t="s">
        <v>52</v>
      </c>
      <c r="M109" t="s">
        <v>540</v>
      </c>
      <c r="N109" t="s">
        <v>32</v>
      </c>
      <c r="O109" t="s">
        <v>494</v>
      </c>
      <c r="P109" t="s">
        <v>555</v>
      </c>
      <c r="Q109" t="s">
        <v>36</v>
      </c>
      <c r="R109" t="s">
        <v>101</v>
      </c>
      <c r="S109" t="s">
        <v>44</v>
      </c>
      <c r="T109" t="s">
        <v>38</v>
      </c>
      <c r="U109" t="s">
        <v>498</v>
      </c>
      <c r="V109" t="s">
        <v>44</v>
      </c>
      <c r="W109" t="s">
        <v>500</v>
      </c>
    </row>
    <row r="110" spans="1:23" ht="24.75" customHeight="1" x14ac:dyDescent="0.35">
      <c r="A110" t="s">
        <v>308</v>
      </c>
      <c r="B110" t="s">
        <v>666</v>
      </c>
      <c r="C110" t="s">
        <v>42</v>
      </c>
      <c r="D110" t="s">
        <v>100</v>
      </c>
      <c r="E110" t="s">
        <v>27</v>
      </c>
      <c r="F110" t="s">
        <v>62</v>
      </c>
      <c r="G110" t="s">
        <v>483</v>
      </c>
      <c r="H110" t="s">
        <v>486</v>
      </c>
      <c r="I110" t="s">
        <v>51</v>
      </c>
      <c r="J110">
        <v>3</v>
      </c>
      <c r="K110" t="s">
        <v>51</v>
      </c>
      <c r="L110" t="s">
        <v>52</v>
      </c>
      <c r="M110" t="s">
        <v>33</v>
      </c>
      <c r="N110" t="s">
        <v>52</v>
      </c>
      <c r="O110" t="s">
        <v>494</v>
      </c>
      <c r="P110" t="s">
        <v>497</v>
      </c>
      <c r="Q110" t="s">
        <v>43</v>
      </c>
      <c r="R110" t="s">
        <v>37</v>
      </c>
      <c r="S110" t="s">
        <v>38</v>
      </c>
      <c r="T110" t="s">
        <v>38</v>
      </c>
      <c r="U110" t="s">
        <v>511</v>
      </c>
      <c r="V110" t="s">
        <v>44</v>
      </c>
      <c r="W110" t="s">
        <v>490</v>
      </c>
    </row>
    <row r="111" spans="1:23" ht="24.75" customHeight="1" x14ac:dyDescent="0.35">
      <c r="A111" t="s">
        <v>310</v>
      </c>
      <c r="B111" t="s">
        <v>667</v>
      </c>
      <c r="C111" t="s">
        <v>42</v>
      </c>
      <c r="D111" t="s">
        <v>49</v>
      </c>
      <c r="E111" t="s">
        <v>50</v>
      </c>
      <c r="F111" t="s">
        <v>66</v>
      </c>
      <c r="G111" t="s">
        <v>483</v>
      </c>
      <c r="H111" t="s">
        <v>492</v>
      </c>
      <c r="I111" t="s">
        <v>30</v>
      </c>
      <c r="J111">
        <v>2</v>
      </c>
      <c r="K111" t="s">
        <v>31</v>
      </c>
      <c r="L111" t="s">
        <v>32</v>
      </c>
      <c r="M111" t="s">
        <v>503</v>
      </c>
      <c r="N111" t="s">
        <v>32</v>
      </c>
      <c r="O111" t="s">
        <v>494</v>
      </c>
      <c r="P111" t="s">
        <v>35</v>
      </c>
      <c r="Q111" t="s">
        <v>36</v>
      </c>
      <c r="R111" t="s">
        <v>101</v>
      </c>
      <c r="S111" t="s">
        <v>44</v>
      </c>
      <c r="T111" t="s">
        <v>38</v>
      </c>
      <c r="U111" t="s">
        <v>39</v>
      </c>
      <c r="V111" t="s">
        <v>38</v>
      </c>
      <c r="W111" t="s">
        <v>557</v>
      </c>
    </row>
    <row r="112" spans="1:23" ht="24.75" customHeight="1" x14ac:dyDescent="0.35">
      <c r="A112" t="s">
        <v>312</v>
      </c>
      <c r="B112" t="s">
        <v>668</v>
      </c>
      <c r="C112" t="s">
        <v>42</v>
      </c>
      <c r="D112" t="s">
        <v>26</v>
      </c>
      <c r="E112" t="s">
        <v>27</v>
      </c>
      <c r="F112" t="s">
        <v>28</v>
      </c>
      <c r="G112" t="s">
        <v>483</v>
      </c>
      <c r="H112" t="s">
        <v>529</v>
      </c>
      <c r="I112" t="s">
        <v>30</v>
      </c>
      <c r="J112">
        <v>2</v>
      </c>
      <c r="K112" t="s">
        <v>31</v>
      </c>
      <c r="L112" t="s">
        <v>52</v>
      </c>
      <c r="M112" t="s">
        <v>514</v>
      </c>
      <c r="N112" t="s">
        <v>32</v>
      </c>
      <c r="O112" t="s">
        <v>57</v>
      </c>
      <c r="P112" t="s">
        <v>497</v>
      </c>
      <c r="Q112" t="s">
        <v>43</v>
      </c>
      <c r="R112" t="s">
        <v>53</v>
      </c>
      <c r="S112" t="s">
        <v>38</v>
      </c>
      <c r="T112" t="s">
        <v>38</v>
      </c>
      <c r="U112" t="s">
        <v>39</v>
      </c>
      <c r="V112" t="s">
        <v>38</v>
      </c>
      <c r="W112" t="s">
        <v>499</v>
      </c>
    </row>
    <row r="113" spans="1:23" ht="24.75" customHeight="1" x14ac:dyDescent="0.35">
      <c r="A113" t="s">
        <v>314</v>
      </c>
      <c r="B113" t="s">
        <v>669</v>
      </c>
      <c r="C113" t="s">
        <v>42</v>
      </c>
      <c r="D113" t="s">
        <v>100</v>
      </c>
      <c r="E113" t="s">
        <v>27</v>
      </c>
      <c r="F113" t="s">
        <v>28</v>
      </c>
      <c r="G113" t="s">
        <v>483</v>
      </c>
      <c r="H113" t="s">
        <v>670</v>
      </c>
      <c r="I113" t="s">
        <v>487</v>
      </c>
      <c r="J113">
        <v>2</v>
      </c>
      <c r="K113" t="s">
        <v>51</v>
      </c>
      <c r="L113" t="s">
        <v>32</v>
      </c>
      <c r="M113" t="s">
        <v>591</v>
      </c>
      <c r="N113" t="s">
        <v>52</v>
      </c>
      <c r="O113" t="s">
        <v>57</v>
      </c>
      <c r="P113" t="s">
        <v>35</v>
      </c>
      <c r="Q113" t="s">
        <v>43</v>
      </c>
      <c r="R113" t="s">
        <v>101</v>
      </c>
      <c r="S113" t="s">
        <v>38</v>
      </c>
      <c r="T113" t="s">
        <v>44</v>
      </c>
      <c r="U113" t="s">
        <v>511</v>
      </c>
      <c r="V113" t="s">
        <v>44</v>
      </c>
      <c r="W113" t="s">
        <v>500</v>
      </c>
    </row>
    <row r="114" spans="1:23" ht="24.75" customHeight="1" x14ac:dyDescent="0.35">
      <c r="A114" t="s">
        <v>316</v>
      </c>
      <c r="B114" t="s">
        <v>671</v>
      </c>
      <c r="C114" t="s">
        <v>25</v>
      </c>
      <c r="D114" t="s">
        <v>49</v>
      </c>
      <c r="E114" t="s">
        <v>50</v>
      </c>
      <c r="F114" t="s">
        <v>28</v>
      </c>
      <c r="G114" t="s">
        <v>483</v>
      </c>
      <c r="H114" t="s">
        <v>520</v>
      </c>
      <c r="I114" t="s">
        <v>51</v>
      </c>
      <c r="J114">
        <v>3</v>
      </c>
      <c r="K114" t="s">
        <v>31</v>
      </c>
      <c r="L114" t="s">
        <v>32</v>
      </c>
      <c r="M114" t="s">
        <v>542</v>
      </c>
      <c r="N114" t="s">
        <v>483</v>
      </c>
      <c r="O114" t="s">
        <v>57</v>
      </c>
      <c r="P114" t="s">
        <v>35</v>
      </c>
      <c r="Q114" t="s">
        <v>36</v>
      </c>
      <c r="R114" t="s">
        <v>53</v>
      </c>
      <c r="S114" t="s">
        <v>38</v>
      </c>
      <c r="T114" t="s">
        <v>38</v>
      </c>
      <c r="U114" t="s">
        <v>39</v>
      </c>
      <c r="V114" t="s">
        <v>38</v>
      </c>
      <c r="W114" t="s">
        <v>499</v>
      </c>
    </row>
    <row r="115" spans="1:23" ht="24.75" customHeight="1" x14ac:dyDescent="0.35">
      <c r="A115" t="s">
        <v>318</v>
      </c>
      <c r="B115" t="s">
        <v>672</v>
      </c>
      <c r="C115" t="s">
        <v>25</v>
      </c>
      <c r="D115" t="s">
        <v>134</v>
      </c>
      <c r="E115" t="s">
        <v>27</v>
      </c>
      <c r="F115" t="s">
        <v>62</v>
      </c>
      <c r="G115" t="s">
        <v>483</v>
      </c>
      <c r="H115" t="s">
        <v>529</v>
      </c>
      <c r="I115" t="s">
        <v>51</v>
      </c>
      <c r="J115">
        <v>4</v>
      </c>
      <c r="K115" t="s">
        <v>51</v>
      </c>
      <c r="L115" t="s">
        <v>67</v>
      </c>
      <c r="M115" t="s">
        <v>517</v>
      </c>
      <c r="N115" t="s">
        <v>483</v>
      </c>
      <c r="O115" t="s">
        <v>57</v>
      </c>
      <c r="P115" t="s">
        <v>35</v>
      </c>
      <c r="Q115" t="s">
        <v>43</v>
      </c>
      <c r="R115" t="s">
        <v>53</v>
      </c>
      <c r="S115" t="s">
        <v>44</v>
      </c>
      <c r="T115" t="s">
        <v>38</v>
      </c>
      <c r="U115" t="s">
        <v>498</v>
      </c>
      <c r="V115" t="s">
        <v>38</v>
      </c>
      <c r="W115" t="s">
        <v>530</v>
      </c>
    </row>
    <row r="116" spans="1:23" ht="24.75" customHeight="1" x14ac:dyDescent="0.35">
      <c r="A116" t="s">
        <v>320</v>
      </c>
      <c r="B116" t="s">
        <v>673</v>
      </c>
      <c r="C116" t="s">
        <v>42</v>
      </c>
      <c r="D116" t="s">
        <v>26</v>
      </c>
      <c r="E116" t="s">
        <v>50</v>
      </c>
      <c r="F116" t="s">
        <v>28</v>
      </c>
      <c r="G116" t="s">
        <v>32</v>
      </c>
      <c r="H116" t="s">
        <v>127</v>
      </c>
      <c r="I116" t="s">
        <v>30</v>
      </c>
      <c r="J116">
        <v>3</v>
      </c>
      <c r="K116" t="s">
        <v>51</v>
      </c>
      <c r="L116" t="s">
        <v>32</v>
      </c>
      <c r="M116" t="s">
        <v>506</v>
      </c>
      <c r="N116" t="s">
        <v>483</v>
      </c>
      <c r="O116" t="s">
        <v>57</v>
      </c>
      <c r="P116" t="s">
        <v>497</v>
      </c>
      <c r="Q116" t="s">
        <v>36</v>
      </c>
      <c r="R116" t="s">
        <v>37</v>
      </c>
      <c r="S116" t="s">
        <v>38</v>
      </c>
      <c r="T116" t="s">
        <v>38</v>
      </c>
      <c r="U116" t="s">
        <v>498</v>
      </c>
      <c r="V116" t="s">
        <v>38</v>
      </c>
      <c r="W116" t="s">
        <v>535</v>
      </c>
    </row>
    <row r="117" spans="1:23" ht="24.75" customHeight="1" x14ac:dyDescent="0.35">
      <c r="A117" t="s">
        <v>322</v>
      </c>
      <c r="B117" t="s">
        <v>674</v>
      </c>
      <c r="C117" t="s">
        <v>42</v>
      </c>
      <c r="D117" t="s">
        <v>134</v>
      </c>
      <c r="E117" t="s">
        <v>27</v>
      </c>
      <c r="F117" t="s">
        <v>62</v>
      </c>
      <c r="G117" t="s">
        <v>483</v>
      </c>
      <c r="H117" t="s">
        <v>529</v>
      </c>
      <c r="I117" t="s">
        <v>51</v>
      </c>
      <c r="J117">
        <v>3</v>
      </c>
      <c r="K117" t="s">
        <v>51</v>
      </c>
      <c r="L117" t="s">
        <v>52</v>
      </c>
      <c r="M117" t="s">
        <v>33</v>
      </c>
      <c r="N117" t="s">
        <v>52</v>
      </c>
      <c r="O117" t="s">
        <v>494</v>
      </c>
      <c r="P117" t="s">
        <v>35</v>
      </c>
      <c r="Q117" t="s">
        <v>43</v>
      </c>
      <c r="R117" t="s">
        <v>101</v>
      </c>
      <c r="S117" t="s">
        <v>38</v>
      </c>
      <c r="T117" t="s">
        <v>38</v>
      </c>
      <c r="U117" t="s">
        <v>498</v>
      </c>
      <c r="V117" t="s">
        <v>44</v>
      </c>
      <c r="W117" t="s">
        <v>557</v>
      </c>
    </row>
    <row r="118" spans="1:23" ht="24.75" customHeight="1" x14ac:dyDescent="0.35">
      <c r="A118" t="s">
        <v>324</v>
      </c>
      <c r="B118" t="s">
        <v>675</v>
      </c>
      <c r="C118" t="s">
        <v>42</v>
      </c>
      <c r="D118" t="s">
        <v>26</v>
      </c>
      <c r="E118" t="s">
        <v>27</v>
      </c>
      <c r="F118" t="s">
        <v>28</v>
      </c>
      <c r="G118" t="s">
        <v>32</v>
      </c>
      <c r="H118" t="s">
        <v>492</v>
      </c>
      <c r="I118" t="s">
        <v>30</v>
      </c>
      <c r="J118">
        <v>2</v>
      </c>
      <c r="K118" t="s">
        <v>488</v>
      </c>
      <c r="L118" t="s">
        <v>67</v>
      </c>
      <c r="M118" t="s">
        <v>524</v>
      </c>
      <c r="N118" t="s">
        <v>32</v>
      </c>
      <c r="O118" t="s">
        <v>494</v>
      </c>
      <c r="P118" t="s">
        <v>497</v>
      </c>
      <c r="Q118" t="s">
        <v>43</v>
      </c>
      <c r="R118" t="s">
        <v>53</v>
      </c>
      <c r="S118" t="s">
        <v>38</v>
      </c>
      <c r="T118" t="s">
        <v>38</v>
      </c>
      <c r="U118" t="s">
        <v>326</v>
      </c>
      <c r="V118" t="s">
        <v>44</v>
      </c>
      <c r="W118" t="s">
        <v>495</v>
      </c>
    </row>
    <row r="119" spans="1:23" ht="24.75" customHeight="1" x14ac:dyDescent="0.35">
      <c r="A119" t="s">
        <v>327</v>
      </c>
      <c r="B119" t="s">
        <v>676</v>
      </c>
      <c r="C119" t="s">
        <v>48</v>
      </c>
      <c r="D119" t="s">
        <v>134</v>
      </c>
      <c r="E119" t="s">
        <v>27</v>
      </c>
      <c r="F119" t="s">
        <v>62</v>
      </c>
      <c r="G119" t="s">
        <v>483</v>
      </c>
      <c r="H119" t="s">
        <v>523</v>
      </c>
      <c r="I119" t="s">
        <v>51</v>
      </c>
      <c r="J119">
        <v>3</v>
      </c>
      <c r="K119" t="s">
        <v>51</v>
      </c>
      <c r="L119" t="s">
        <v>67</v>
      </c>
      <c r="M119" t="s">
        <v>521</v>
      </c>
      <c r="N119" t="s">
        <v>32</v>
      </c>
      <c r="O119" t="s">
        <v>494</v>
      </c>
      <c r="P119" t="s">
        <v>35</v>
      </c>
      <c r="Q119" t="s">
        <v>43</v>
      </c>
      <c r="R119" t="s">
        <v>37</v>
      </c>
      <c r="S119" t="s">
        <v>38</v>
      </c>
      <c r="T119" t="s">
        <v>38</v>
      </c>
      <c r="U119" t="s">
        <v>498</v>
      </c>
      <c r="V119" t="s">
        <v>38</v>
      </c>
      <c r="W119" t="s">
        <v>507</v>
      </c>
    </row>
    <row r="120" spans="1:23" ht="24.75" customHeight="1" x14ac:dyDescent="0.35">
      <c r="A120" t="s">
        <v>329</v>
      </c>
      <c r="B120" t="s">
        <v>677</v>
      </c>
      <c r="C120" t="s">
        <v>48</v>
      </c>
      <c r="D120" t="s">
        <v>49</v>
      </c>
      <c r="E120" t="s">
        <v>50</v>
      </c>
      <c r="F120" t="s">
        <v>28</v>
      </c>
      <c r="G120" t="s">
        <v>483</v>
      </c>
      <c r="H120" t="s">
        <v>486</v>
      </c>
      <c r="I120" t="s">
        <v>30</v>
      </c>
      <c r="J120">
        <v>2</v>
      </c>
      <c r="K120" t="s">
        <v>31</v>
      </c>
      <c r="L120" t="s">
        <v>32</v>
      </c>
      <c r="M120" t="s">
        <v>33</v>
      </c>
      <c r="N120" t="s">
        <v>32</v>
      </c>
      <c r="O120" t="s">
        <v>57</v>
      </c>
      <c r="P120" t="s">
        <v>497</v>
      </c>
      <c r="Q120" t="s">
        <v>36</v>
      </c>
      <c r="R120" t="s">
        <v>101</v>
      </c>
      <c r="S120" t="s">
        <v>44</v>
      </c>
      <c r="T120" t="s">
        <v>44</v>
      </c>
      <c r="U120" t="s">
        <v>45</v>
      </c>
      <c r="V120" t="s">
        <v>44</v>
      </c>
      <c r="W120" t="s">
        <v>490</v>
      </c>
    </row>
    <row r="121" spans="1:23" ht="24.75" customHeight="1" x14ac:dyDescent="0.35">
      <c r="A121" t="s">
        <v>331</v>
      </c>
      <c r="B121" t="s">
        <v>678</v>
      </c>
      <c r="C121" t="s">
        <v>48</v>
      </c>
      <c r="D121" t="s">
        <v>26</v>
      </c>
      <c r="E121" t="s">
        <v>27</v>
      </c>
      <c r="F121" t="s">
        <v>28</v>
      </c>
      <c r="G121" t="s">
        <v>483</v>
      </c>
      <c r="H121" t="s">
        <v>643</v>
      </c>
      <c r="I121" t="s">
        <v>51</v>
      </c>
      <c r="J121">
        <v>3</v>
      </c>
      <c r="K121" t="s">
        <v>51</v>
      </c>
      <c r="L121" t="s">
        <v>52</v>
      </c>
      <c r="M121" t="s">
        <v>521</v>
      </c>
      <c r="N121" t="s">
        <v>52</v>
      </c>
      <c r="O121" t="s">
        <v>57</v>
      </c>
      <c r="P121" t="s">
        <v>497</v>
      </c>
      <c r="Q121" t="s">
        <v>43</v>
      </c>
      <c r="R121" t="s">
        <v>101</v>
      </c>
      <c r="S121" t="s">
        <v>38</v>
      </c>
      <c r="T121" t="s">
        <v>38</v>
      </c>
      <c r="U121" t="s">
        <v>39</v>
      </c>
      <c r="V121" t="s">
        <v>38</v>
      </c>
      <c r="W121" t="s">
        <v>495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21"/>
  <sheetViews>
    <sheetView topLeftCell="T1" zoomScaleNormal="100" workbookViewId="0">
      <pane ySplit="1" topLeftCell="A2" activePane="bottomLeft" state="frozen"/>
      <selection pane="bottomLeft" activeCell="G1" sqref="G1"/>
    </sheetView>
  </sheetViews>
  <sheetFormatPr defaultColWidth="8.7265625" defaultRowHeight="14.5" x14ac:dyDescent="0.35"/>
  <cols>
    <col min="1" max="1" width="26" style="1" customWidth="1"/>
    <col min="2" max="2" width="16" style="1" customWidth="1"/>
    <col min="3" max="9" width="35" style="1" customWidth="1"/>
    <col min="10" max="10" width="22.08984375" style="1" customWidth="1"/>
    <col min="11" max="23" width="35" style="1" customWidth="1"/>
  </cols>
  <sheetData>
    <row r="1" spans="1:23" ht="4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4.75" customHeight="1" x14ac:dyDescent="0.35">
      <c r="A2" s="3" t="str">
        <f>Raw_Data!A2</f>
        <v>2026/04/23 10:31:16 PM GMT+1</v>
      </c>
      <c r="B2" s="3" t="str">
        <f>Raw_Data!B2</f>
        <v>yasiritemwa233@gmail.com</v>
      </c>
      <c r="C2" s="3" t="str">
        <f ca="1">IFERROR(textbefore(Raw_Data!C2," / "),Raw_Data!C2)</f>
        <v>Orange</v>
      </c>
      <c r="D2" s="3" t="str">
        <f ca="1">IFERROR(textbefore(Raw_Data!D2," / "),Raw_Data!D2)</f>
        <v>Southwest Region</v>
      </c>
      <c r="E2" s="3" t="str">
        <f ca="1">IFERROR(textbefore(Raw_Data!E2," / "),Raw_Data!E2)</f>
        <v>Android</v>
      </c>
      <c r="F2" s="3" t="str">
        <f ca="1">IFERROR(textbefore(Raw_Data!F2," / "),Raw_Data!F2)</f>
        <v>20-25</v>
      </c>
      <c r="G2" s="3" t="str">
        <f ca="1">IFERROR(textbefore(textbefore(Raw_Data!G2,";")," / "),IFERROR(textbefore(Raw_Data!G2," / "),Raw_Data!G2))</f>
        <v>Very often / TrÃ¨s souvent</v>
      </c>
      <c r="H2" s="3" t="str">
        <f ca="1">IFERROR(textbefore(Raw_Data!H2," / "),Raw_Data!H2)</f>
        <v>Browsing / Navigation</v>
      </c>
      <c r="I2" s="3" t="str">
        <f ca="1">IFERROR(textbefore(Raw_Data!I2," / "),Raw_Data!I2)</f>
        <v>Poor / Mauvaise</v>
      </c>
      <c r="J2" s="3">
        <f>Raw_Data!J2</f>
        <v>2</v>
      </c>
      <c r="K2" s="3" t="str">
        <f ca="1">IFERROR(textbefore(Raw_Data!K2," / "),Raw_Data!K2)</f>
        <v>Poor / Instable</v>
      </c>
      <c r="L2" s="3" t="str">
        <f ca="1">IFERROR(textbefore(Raw_Data!L2," / "),Raw_Data!L2)</f>
        <v>Often / Souvent</v>
      </c>
      <c r="M2" s="3" t="str">
        <f ca="1">IFERROR(textbefore(Raw_Data!M2," / "),Raw_Data!M2)</f>
        <v>Slow internet / Internet lent</v>
      </c>
      <c r="N2" s="3" t="str">
        <f ca="1">IFERROR(textbefore(Raw_Data!N2," / "),Raw_Data!N2)</f>
        <v>Often / Souvent</v>
      </c>
      <c r="O2" s="3" t="str">
        <f ca="1">IFERROR(textbefore(Raw_Data!O2," / "),Raw_Data!O2)</f>
        <v>Night / Nuit</v>
      </c>
      <c r="P2" s="3" t="str">
        <f ca="1">IFERROR(textbefore(Raw_Data!P2," / "),Raw_Data!P2)</f>
        <v>Everywhere / Partout</v>
      </c>
      <c r="Q2" s="3" t="str">
        <f ca="1">IFERROR(textbefore(Raw_Data!Q2," / "),Raw_Data!Q2)</f>
        <v>Weak / Faible</v>
      </c>
      <c r="R2" s="3" t="str">
        <f ca="1">IFERROR(textbefore(Raw_Data!R2," / "),Raw_Data!R2)</f>
        <v>Severely / Beaucoup</v>
      </c>
      <c r="S2" s="3" t="str">
        <f ca="1">IFERROR(textbefore(Raw_Data!S2," / "),Raw_Data!S2)</f>
        <v>Yes / Oui</v>
      </c>
      <c r="T2" s="3" t="str">
        <f ca="1">IFERROR(textbefore(Raw_Data!T2," / "),Raw_Data!T2)</f>
        <v>Yes / Oui</v>
      </c>
      <c r="U2" s="3" t="str">
        <f ca="1">IFERROR(textbefore(Raw_Data!U2," / "),Raw_Data!U2)</f>
        <v>Once a day / Une fois par jour</v>
      </c>
      <c r="V2" s="3" t="str">
        <f ca="1">IFERROR(textbefore(Raw_Data!V2," / "),Raw_Data!V2)</f>
        <v>Yes / Oui</v>
      </c>
      <c r="W2" s="3" t="str">
        <f ca="1">IFERROR(textbefore(Raw_Data!W2," / "),Raw_Data!W2)</f>
        <v>Battery usage / Batterie;Data usage / Consommation de donnÃ©es;Security / SÃ©curitÃ©</v>
      </c>
    </row>
    <row r="3" spans="1:23" ht="24.75" customHeight="1" x14ac:dyDescent="0.35">
      <c r="A3" s="3" t="str">
        <f>Raw_Data!A3</f>
        <v>2026/04/23 10:54:23 PM GMT+1</v>
      </c>
      <c r="B3" s="3" t="str">
        <f>Raw_Data!B3</f>
        <v>maagboramelia123@gmail.com</v>
      </c>
      <c r="C3" s="3" t="str">
        <f ca="1">IFERROR(textbefore(Raw_Data!C3," / "),Raw_Data!C3)</f>
        <v>MTN</v>
      </c>
      <c r="D3" s="3" t="str">
        <f ca="1">IFERROR(textbefore(Raw_Data!D3," / "),Raw_Data!D3)</f>
        <v>Southwest Region</v>
      </c>
      <c r="E3" s="3" t="str">
        <f ca="1">IFERROR(textbefore(Raw_Data!E3," / "),Raw_Data!E3)</f>
        <v>Android</v>
      </c>
      <c r="F3" s="3" t="str">
        <f ca="1">IFERROR(textbefore(Raw_Data!F3," / "),Raw_Data!F3)</f>
        <v>20-25</v>
      </c>
      <c r="G3" s="3" t="str">
        <f ca="1">IFERROR(textbefore(textbefore(Raw_Data!G3,";")," / "),IFERROR(textbefore(Raw_Data!G3," / "),Raw_Data!G3))</f>
        <v>Very often / TrÃ¨s souvent</v>
      </c>
      <c r="H3" s="3" t="str">
        <f ca="1">IFERROR(textbefore(Raw_Data!H3," / "),Raw_Data!H3)</f>
        <v>Social media / RÃ©seaux sociaux</v>
      </c>
      <c r="I3" s="3" t="str">
        <f ca="1">IFERROR(textbefore(Raw_Data!I3," / "),Raw_Data!I3)</f>
        <v>Very Poor / TrÃ¨s mauvaise</v>
      </c>
      <c r="J3" s="3">
        <f>Raw_Data!J3</f>
        <v>3</v>
      </c>
      <c r="K3" s="3" t="str">
        <f ca="1">IFERROR(textbefore(Raw_Data!K3," / "),Raw_Data!K3)</f>
        <v>Very Poor / TrÃ¨s instable</v>
      </c>
      <c r="L3" s="3" t="str">
        <f ca="1">IFERROR(textbefore(Raw_Data!L3," / "),Raw_Data!L3)</f>
        <v>Often / Souvent</v>
      </c>
      <c r="M3" s="3" t="str">
        <f ca="1">IFERROR(textbefore(Raw_Data!M3," / "),Raw_Data!M3)</f>
        <v>Slow internet / Internet lent</v>
      </c>
      <c r="N3" s="3" t="str">
        <f ca="1">IFERROR(textbefore(Raw_Data!N3," / "),Raw_Data!N3)</f>
        <v>Very often / TrÃ¨s souvent</v>
      </c>
      <c r="O3" s="3" t="str">
        <f ca="1">IFERROR(textbefore(Raw_Data!O3," / "),Raw_Data!O3)</f>
        <v>Night / Nuit</v>
      </c>
      <c r="P3" s="3" t="str">
        <f ca="1">IFERROR(textbefore(Raw_Data!P3," / "),Raw_Data!P3)</f>
        <v>Everywhere / Partout</v>
      </c>
      <c r="Q3" s="3" t="str">
        <f ca="1">IFERROR(textbefore(Raw_Data!Q3," / "),Raw_Data!Q3)</f>
        <v>Moderate / Moyen</v>
      </c>
      <c r="R3" s="3" t="str">
        <f ca="1">IFERROR(textbefore(Raw_Data!R3," / "),Raw_Data!R3)</f>
        <v>Severely / Beaucoup</v>
      </c>
      <c r="S3" s="3" t="str">
        <f ca="1">IFERROR(textbefore(Raw_Data!S3," / "),Raw_Data!S3)</f>
        <v>No / Non</v>
      </c>
      <c r="T3" s="3" t="str">
        <f ca="1">IFERROR(textbefore(Raw_Data!T3," / "),Raw_Data!T3)</f>
        <v>No / Non</v>
      </c>
      <c r="U3" s="3" t="str">
        <f ca="1">IFERROR(textbefore(Raw_Data!U3," / "),Raw_Data!U3)</f>
        <v>Never / Jamais</v>
      </c>
      <c r="V3" s="3" t="str">
        <f ca="1">IFERROR(textbefore(Raw_Data!V3," / "),Raw_Data!V3)</f>
        <v>No / Non</v>
      </c>
      <c r="W3" s="3" t="str">
        <f ca="1">IFERROR(textbefore(Raw_Data!W3," / "),Raw_Data!W3)</f>
        <v>Privacy / ConfidentialitÃ©;Battery usage / Batterie;Security / SÃ©curitÃ©</v>
      </c>
    </row>
    <row r="4" spans="1:23" ht="24.75" customHeight="1" x14ac:dyDescent="0.35">
      <c r="A4" s="3" t="str">
        <f>Raw_Data!A4</f>
        <v>2026/04/23 11:07:04 PM GMT+1</v>
      </c>
      <c r="B4" s="3" t="str">
        <f>Raw_Data!B4</f>
        <v>yvettecrystal24@gmail.com</v>
      </c>
      <c r="C4" s="3" t="str">
        <f ca="1">IFERROR(textbefore(Raw_Data!C4," / "),Raw_Data!C4)</f>
        <v>MTN;Orange</v>
      </c>
      <c r="D4" s="3" t="str">
        <f ca="1">IFERROR(textbefore(Raw_Data!D4," / "),Raw_Data!D4)</f>
        <v>North West Region</v>
      </c>
      <c r="E4" s="3" t="str">
        <f ca="1">IFERROR(textbefore(Raw_Data!E4," / "),Raw_Data!E4)</f>
        <v>iPhone</v>
      </c>
      <c r="F4" s="3" t="str">
        <f ca="1">IFERROR(textbefore(Raw_Data!F4," / "),Raw_Data!F4)</f>
        <v>20-25</v>
      </c>
      <c r="G4" s="3" t="str">
        <f ca="1">IFERROR(textbefore(textbefore(Raw_Data!G4,";")," / "),IFERROR(textbefore(Raw_Data!G4," / "),Raw_Data!G4))</f>
        <v>Very often / TrÃ¨s souvent</v>
      </c>
      <c r="H4" s="3" t="str">
        <f ca="1">IFERROR(textbefore(Raw_Data!H4," / "),Raw_Data!H4)</f>
        <v>Social media / RÃ©seaux sociaux;Messaging / Messagerie (WhatsApp, etc.);Online classes/work / Cours ou travail en ligne;Gaming / Jeux;Browsing / Navigation</v>
      </c>
      <c r="I4" s="3" t="str">
        <f ca="1">IFERROR(textbefore(Raw_Data!I4," / "),Raw_Data!I4)</f>
        <v>Average / Moyenne</v>
      </c>
      <c r="J4" s="3">
        <f>Raw_Data!J4</f>
        <v>3</v>
      </c>
      <c r="K4" s="3" t="str">
        <f ca="1">IFERROR(textbefore(Raw_Data!K4," / "),Raw_Data!K4)</f>
        <v>Average / Moyenne</v>
      </c>
      <c r="L4" s="3" t="str">
        <f ca="1">IFERROR(textbefore(Raw_Data!L4," / "),Raw_Data!L4)</f>
        <v>Sometimes / Parfois</v>
      </c>
      <c r="M4" s="3" t="str">
        <f ca="1">IFERROR(textbefore(Raw_Data!M4," / "),Raw_Data!M4)</f>
        <v>Slow internet / Internet lent;No signal / Pas de rÃ©seau</v>
      </c>
      <c r="N4" s="3" t="str">
        <f ca="1">IFERROR(textbefore(Raw_Data!N4," / "),Raw_Data!N4)</f>
        <v>Often / Souvent</v>
      </c>
      <c r="O4" s="3" t="str">
        <f ca="1">IFERROR(textbefore(Raw_Data!O4," / "),Raw_Data!O4)</f>
        <v>Afternoon / AprÃ¨s-midi</v>
      </c>
      <c r="P4" s="3" t="str">
        <f ca="1">IFERROR(textbefore(Raw_Data!P4," / "),Raw_Data!P4)</f>
        <v>Everywhere / Partout</v>
      </c>
      <c r="Q4" s="3" t="str">
        <f ca="1">IFERROR(textbefore(Raw_Data!Q4," / "),Raw_Data!Q4)</f>
        <v>Moderate / Moyen</v>
      </c>
      <c r="R4" s="3" t="str">
        <f ca="1">IFERROR(textbefore(Raw_Data!R4," / "),Raw_Data!R4)</f>
        <v>Moderately / Moyennement</v>
      </c>
      <c r="S4" s="3" t="str">
        <f ca="1">IFERROR(textbefore(Raw_Data!S4," / "),Raw_Data!S4)</f>
        <v>Yes / Oui</v>
      </c>
      <c r="T4" s="3" t="str">
        <f ca="1">IFERROR(textbefore(Raw_Data!T4," / "),Raw_Data!T4)</f>
        <v>Yes / Oui</v>
      </c>
      <c r="U4" s="3" t="str">
        <f ca="1">IFERROR(textbefore(Raw_Data!U4," / "),Raw_Data!U4)</f>
        <v>Once a day / Une fois par jour</v>
      </c>
      <c r="V4" s="3" t="str">
        <f ca="1">IFERROR(textbefore(Raw_Data!V4," / "),Raw_Data!V4)</f>
        <v>Yes / Oui</v>
      </c>
      <c r="W4" s="3" t="str">
        <f ca="1">IFERROR(textbefore(Raw_Data!W4," / "),Raw_Data!W4)</f>
        <v>Privacy / ConfidentialitÃ©;Data usage / Consommation de donnÃ©es;Security / SÃ©curitÃ©</v>
      </c>
    </row>
    <row r="5" spans="1:23" ht="24.75" customHeight="1" x14ac:dyDescent="0.35">
      <c r="A5" s="3" t="str">
        <f>Raw_Data!A5</f>
        <v>2026/04/23 11:18:50 PM GMT+1</v>
      </c>
      <c r="B5" s="3" t="str">
        <f>Raw_Data!B5</f>
        <v>bjuclear@gmail.com</v>
      </c>
      <c r="C5" s="3" t="str">
        <f ca="1">IFERROR(textbefore(Raw_Data!C5," / "),Raw_Data!C5)</f>
        <v>MTN</v>
      </c>
      <c r="D5" s="3" t="str">
        <f ca="1">IFERROR(textbefore(Raw_Data!D5," / "),Raw_Data!D5)</f>
        <v>Southwest Region</v>
      </c>
      <c r="E5" s="3" t="str">
        <f ca="1">IFERROR(textbefore(Raw_Data!E5," / "),Raw_Data!E5)</f>
        <v>Android</v>
      </c>
      <c r="F5" s="3" t="str">
        <f ca="1">IFERROR(textbefore(Raw_Data!F5," / "),Raw_Data!F5)</f>
        <v>20-25</v>
      </c>
      <c r="G5" s="3" t="str">
        <f ca="1">IFERROR(textbefore(textbefore(Raw_Data!G5,";")," / "),IFERROR(textbefore(Raw_Data!G5," / "),Raw_Data!G5))</f>
        <v>Very often / TrÃ¨s souvent</v>
      </c>
      <c r="H5" s="3" t="str">
        <f ca="1">IFERROR(textbefore(Raw_Data!H5," / "),Raw_Data!H5)</f>
        <v>Social media / RÃ©seaux sociaux</v>
      </c>
      <c r="I5" s="3" t="str">
        <f ca="1">IFERROR(textbefore(Raw_Data!I5," / "),Raw_Data!I5)</f>
        <v>Poor / Mauvaise;Average / Moyenne</v>
      </c>
      <c r="J5" s="3">
        <f>Raw_Data!J5</f>
        <v>3</v>
      </c>
      <c r="K5" s="3" t="str">
        <f ca="1">IFERROR(textbefore(Raw_Data!K5," / "),Raw_Data!K5)</f>
        <v>Average / Moyenne</v>
      </c>
      <c r="L5" s="3" t="str">
        <f ca="1">IFERROR(textbefore(Raw_Data!L5," / "),Raw_Data!L5)</f>
        <v>Sometimes / Parfois</v>
      </c>
      <c r="M5" s="3" t="str">
        <f ca="1">IFERROR(textbefore(Raw_Data!M5," / "),Raw_Data!M5)</f>
        <v>Slow internet / Internet lent</v>
      </c>
      <c r="N5" s="3" t="str">
        <f ca="1">IFERROR(textbefore(Raw_Data!N5," / "),Raw_Data!N5)</f>
        <v>Often / Souvent</v>
      </c>
      <c r="O5" s="3" t="str">
        <f ca="1">IFERROR(textbefore(Raw_Data!O5," / "),Raw_Data!O5)</f>
        <v>Evening / Soir</v>
      </c>
      <c r="P5" s="3" t="str">
        <f ca="1">IFERROR(textbefore(Raw_Data!P5," / "),Raw_Data!P5)</f>
        <v>School/Work / Ã‰cole/Travail</v>
      </c>
      <c r="Q5" s="3" t="str">
        <f ca="1">IFERROR(textbefore(Raw_Data!Q5," / "),Raw_Data!Q5)</f>
        <v>Moderate / Moyen</v>
      </c>
      <c r="R5" s="3" t="str">
        <f ca="1">IFERROR(textbefore(Raw_Data!R5," / "),Raw_Data!R5)</f>
        <v>Severely / Beaucoup</v>
      </c>
      <c r="S5" s="3" t="str">
        <f ca="1">IFERROR(textbefore(Raw_Data!S5," / "),Raw_Data!S5)</f>
        <v>Yes / Oui</v>
      </c>
      <c r="T5" s="3" t="str">
        <f ca="1">IFERROR(textbefore(Raw_Data!T5," / "),Raw_Data!T5)</f>
        <v>Yes / Oui</v>
      </c>
      <c r="U5" s="3" t="str">
        <f ca="1">IFERROR(textbefore(Raw_Data!U5," / "),Raw_Data!U5)</f>
        <v>Only when there is a problem / Seulement en cas de problÃ¨me</v>
      </c>
      <c r="V5" s="3" t="str">
        <f ca="1">IFERROR(textbefore(Raw_Data!V5," / "),Raw_Data!V5)</f>
        <v>Yes / Oui</v>
      </c>
      <c r="W5" s="3" t="str">
        <f ca="1">IFERROR(textbefore(Raw_Data!W5," / "),Raw_Data!W5)</f>
        <v>Privacy / ConfidentialitÃ©;Battery usage / Batterie;Data usage / Consommation de donnÃ©es;Security / SÃ©curitÃ©</v>
      </c>
    </row>
    <row r="6" spans="1:23" ht="24.75" customHeight="1" x14ac:dyDescent="0.35">
      <c r="A6" s="3" t="str">
        <f>Raw_Data!A6</f>
        <v>2026/04/23 11:25:07 PM GMT+1</v>
      </c>
      <c r="B6" s="3" t="str">
        <f>Raw_Data!B6</f>
        <v>fulopila9@gmail.com</v>
      </c>
      <c r="C6" s="3" t="str">
        <f ca="1">IFERROR(textbefore(Raw_Data!C6," / "),Raw_Data!C6)</f>
        <v>MTN;Orange;Camtel</v>
      </c>
      <c r="D6" s="3" t="str">
        <f ca="1">IFERROR(textbefore(Raw_Data!D6," / "),Raw_Data!D6)</f>
        <v>Southwest Region</v>
      </c>
      <c r="E6" s="3" t="str">
        <f ca="1">IFERROR(textbefore(Raw_Data!E6," / "),Raw_Data!E6)</f>
        <v>Android;iPhone</v>
      </c>
      <c r="F6" s="3" t="str">
        <f ca="1">IFERROR(textbefore(Raw_Data!F6," / "),Raw_Data!F6)</f>
        <v>25 and above</v>
      </c>
      <c r="G6" s="3" t="str">
        <f ca="1">IFERROR(textbefore(textbefore(Raw_Data!G6,";")," / "),IFERROR(textbefore(Raw_Data!G6," / "),Raw_Data!G6))</f>
        <v>Very often / TrÃ¨s souvent</v>
      </c>
      <c r="H6" s="3" t="str">
        <f ca="1">IFERROR(textbefore(Raw_Data!H6," / "),Raw_Data!H6)</f>
        <v xml:space="preserve">Social media / RÃ©seaux sociaux;Messaging / Messagerie (WhatsApp, etc.);Browsing / Navigation;Software development </v>
      </c>
      <c r="I6" s="3" t="str">
        <f ca="1">IFERROR(textbefore(Raw_Data!I6," / "),Raw_Data!I6)</f>
        <v>Average / Moyenne</v>
      </c>
      <c r="J6" s="3">
        <f>Raw_Data!J6</f>
        <v>2</v>
      </c>
      <c r="K6" s="3" t="str">
        <f ca="1">IFERROR(textbefore(Raw_Data!K6," / "),Raw_Data!K6)</f>
        <v>Poor / Instable</v>
      </c>
      <c r="L6" s="3" t="str">
        <f ca="1">IFERROR(textbefore(Raw_Data!L6," / "),Raw_Data!L6)</f>
        <v>Often / Souvent</v>
      </c>
      <c r="M6" s="3" t="str">
        <f ca="1">IFERROR(textbefore(Raw_Data!M6," / "),Raw_Data!M6)</f>
        <v>Slow internet / Internet lent;Call drops / Coupures d'appel;No signal / Pas de rÃ©seau;Poor call quality / Mauvaise qualitÃ© dâ€™appel;Network outages / Pannes rÃ©seau</v>
      </c>
      <c r="N6" s="3" t="str">
        <f ca="1">IFERROR(textbefore(Raw_Data!N6," / "),Raw_Data!N6)</f>
        <v>Often / Souvent</v>
      </c>
      <c r="O6" s="3" t="str">
        <f ca="1">IFERROR(textbefore(Raw_Data!O6," / "),Raw_Data!O6)</f>
        <v>Afternoon / AprÃ¨s-midi</v>
      </c>
      <c r="P6" s="3" t="str">
        <f ca="1">IFERROR(textbefore(Raw_Data!P6," / "),Raw_Data!P6)</f>
        <v>Everywhere / Partout</v>
      </c>
      <c r="Q6" s="3" t="str">
        <f ca="1">IFERROR(textbefore(Raw_Data!Q6," / "),Raw_Data!Q6)</f>
        <v>Moderate / Moyen</v>
      </c>
      <c r="R6" s="3" t="str">
        <f ca="1">IFERROR(textbefore(Raw_Data!R6," / "),Raw_Data!R6)</f>
        <v>Severely / Beaucoup</v>
      </c>
      <c r="S6" s="3" t="str">
        <f ca="1">IFERROR(textbefore(Raw_Data!S6," / "),Raw_Data!S6)</f>
        <v>Yes / Oui</v>
      </c>
      <c r="T6" s="3" t="str">
        <f ca="1">IFERROR(textbefore(Raw_Data!T6," / "),Raw_Data!T6)</f>
        <v>Yes / Oui</v>
      </c>
      <c r="U6" s="3" t="str">
        <f ca="1">IFERROR(textbefore(Raw_Data!U6," / "),Raw_Data!U6)</f>
        <v>Only when there is a problem / Seulement en cas de problÃ¨me</v>
      </c>
      <c r="V6" s="3" t="str">
        <f ca="1">IFERROR(textbefore(Raw_Data!V6," / "),Raw_Data!V6)</f>
        <v>Yes / Oui</v>
      </c>
      <c r="W6" s="3" t="str">
        <f ca="1">IFERROR(textbefore(Raw_Data!W6," / "),Raw_Data!W6)</f>
        <v>Privacy / ConfidentialitÃ©;Data usage / Consommation de donnÃ©es;Security / SÃ©curitÃ©</v>
      </c>
    </row>
    <row r="7" spans="1:23" ht="24.75" customHeight="1" x14ac:dyDescent="0.35">
      <c r="A7" s="3" t="str">
        <f>Raw_Data!A7</f>
        <v>2026/04/23 11:25:43 PM GMT+1</v>
      </c>
      <c r="B7" s="3" t="str">
        <f>Raw_Data!B7</f>
        <v>tafopaabigail11@gmail.com</v>
      </c>
      <c r="C7" s="3" t="str">
        <f ca="1">IFERROR(textbefore(Raw_Data!C7," / "),Raw_Data!C7)</f>
        <v>MTN</v>
      </c>
      <c r="D7" s="3" t="str">
        <f ca="1">IFERROR(textbefore(Raw_Data!D7," / "),Raw_Data!D7)</f>
        <v>Center Regional</v>
      </c>
      <c r="E7" s="3" t="str">
        <f ca="1">IFERROR(textbefore(Raw_Data!E7," / "),Raw_Data!E7)</f>
        <v>Android</v>
      </c>
      <c r="F7" s="3" t="str">
        <f ca="1">IFERROR(textbefore(Raw_Data!F7," / "),Raw_Data!F7)</f>
        <v>15-20</v>
      </c>
      <c r="G7" s="3" t="str">
        <f ca="1">IFERROR(textbefore(textbefore(Raw_Data!G7,";")," / "),IFERROR(textbefore(Raw_Data!G7," / "),Raw_Data!G7))</f>
        <v>Very often / TrÃ¨s souvent</v>
      </c>
      <c r="H7" s="3" t="str">
        <f ca="1">IFERROR(textbefore(Raw_Data!H7," / "),Raw_Data!H7)</f>
        <v>Social media / RÃ©seaux sociaux;Online classes/work / Cours ou travail en ligne</v>
      </c>
      <c r="I7" s="3" t="str">
        <f ca="1">IFERROR(textbefore(Raw_Data!I7," / "),Raw_Data!I7)</f>
        <v>Average / Moyenne</v>
      </c>
      <c r="J7" s="3">
        <f>Raw_Data!J7</f>
        <v>2</v>
      </c>
      <c r="K7" s="3" t="str">
        <f ca="1">IFERROR(textbefore(Raw_Data!K7," / "),Raw_Data!K7)</f>
        <v>Average / Moyenne</v>
      </c>
      <c r="L7" s="3" t="str">
        <f ca="1">IFERROR(textbefore(Raw_Data!L7," / "),Raw_Data!L7)</f>
        <v>Always / Toujours</v>
      </c>
      <c r="M7" s="3" t="str">
        <f ca="1">IFERROR(textbefore(Raw_Data!M7," / "),Raw_Data!M7)</f>
        <v>Slow internet / Internet lent;No signal / Pas de rÃ©seau;Network outages / Pannes rÃ©seau</v>
      </c>
      <c r="N7" s="3" t="str">
        <f ca="1">IFERROR(textbefore(Raw_Data!N7," / "),Raw_Data!N7)</f>
        <v>Very often / TrÃ¨s souvent</v>
      </c>
      <c r="O7" s="3" t="str">
        <f ca="1">IFERROR(textbefore(Raw_Data!O7," / "),Raw_Data!O7)</f>
        <v>Afternoon / AprÃ¨s-midi</v>
      </c>
      <c r="P7" s="3" t="str">
        <f ca="1">IFERROR(textbefore(Raw_Data!P7," / "),Raw_Data!P7)</f>
        <v>School/Work / Ã‰cole/Travail</v>
      </c>
      <c r="Q7" s="3" t="str">
        <f ca="1">IFERROR(textbefore(Raw_Data!Q7," / "),Raw_Data!Q7)</f>
        <v>Strong / Fort</v>
      </c>
      <c r="R7" s="3" t="str">
        <f ca="1">IFERROR(textbefore(Raw_Data!R7," / "),Raw_Data!R7)</f>
        <v>Severely / Beaucoup</v>
      </c>
      <c r="S7" s="3" t="str">
        <f ca="1">IFERROR(textbefore(Raw_Data!S7," / "),Raw_Data!S7)</f>
        <v>Yes / Oui</v>
      </c>
      <c r="T7" s="3" t="str">
        <f ca="1">IFERROR(textbefore(Raw_Data!T7," / "),Raw_Data!T7)</f>
        <v>No / Non</v>
      </c>
      <c r="U7" s="3" t="str">
        <f ca="1">IFERROR(textbefore(Raw_Data!U7," / "),Raw_Data!U7)</f>
        <v>Only when there is a problem / Seulement en cas de problÃ¨me</v>
      </c>
      <c r="V7" s="3" t="str">
        <f ca="1">IFERROR(textbefore(Raw_Data!V7," / "),Raw_Data!V7)</f>
        <v>No / Non</v>
      </c>
      <c r="W7" s="3" t="str">
        <f ca="1">IFERROR(textbefore(Raw_Data!W7," / "),Raw_Data!W7)</f>
        <v>Privacy / ConfidentialitÃ©;Security / SÃ©curitÃ©</v>
      </c>
    </row>
    <row r="8" spans="1:23" ht="24.75" customHeight="1" x14ac:dyDescent="0.35">
      <c r="A8" s="3" t="str">
        <f>Raw_Data!A8</f>
        <v>2026/04/23 11:26:31 PM GMT+1</v>
      </c>
      <c r="B8" s="3" t="str">
        <f>Raw_Data!B8</f>
        <v>nkengafac.madelene.olive@gmail.com</v>
      </c>
      <c r="C8" s="3" t="str">
        <f ca="1">IFERROR(textbefore(Raw_Data!C8," / "),Raw_Data!C8)</f>
        <v>MTN</v>
      </c>
      <c r="D8" s="3" t="str">
        <f ca="1">IFERROR(textbefore(Raw_Data!D8," / "),Raw_Data!D8)</f>
        <v>Southwest Region</v>
      </c>
      <c r="E8" s="3" t="str">
        <f ca="1">IFERROR(textbefore(Raw_Data!E8," / "),Raw_Data!E8)</f>
        <v>Android</v>
      </c>
      <c r="F8" s="3" t="str">
        <f ca="1">IFERROR(textbefore(Raw_Data!F8," / "),Raw_Data!F8)</f>
        <v>20-25</v>
      </c>
      <c r="G8" s="3" t="str">
        <f ca="1">IFERROR(textbefore(textbefore(Raw_Data!G8,";")," / "),IFERROR(textbefore(Raw_Data!G8," / "),Raw_Data!G8))</f>
        <v>Often / Souvent</v>
      </c>
      <c r="H8" s="3" t="str">
        <f ca="1">IFERROR(textbefore(Raw_Data!H8," / "),Raw_Data!H8)</f>
        <v>Messaging / Messagerie (WhatsApp, etc.);Browsing / Navigation</v>
      </c>
      <c r="I8" s="3" t="str">
        <f ca="1">IFERROR(textbefore(Raw_Data!I8," / "),Raw_Data!I8)</f>
        <v>Poor / Mauvaise</v>
      </c>
      <c r="J8" s="3">
        <f>Raw_Data!J8</f>
        <v>1</v>
      </c>
      <c r="K8" s="3" t="str">
        <f ca="1">IFERROR(textbefore(Raw_Data!K8," / "),Raw_Data!K8)</f>
        <v>Poor / Instable</v>
      </c>
      <c r="L8" s="3" t="str">
        <f ca="1">IFERROR(textbefore(Raw_Data!L8," / "),Raw_Data!L8)</f>
        <v>Always / Toujours</v>
      </c>
      <c r="M8" s="3" t="str">
        <f ca="1">IFERROR(textbefore(Raw_Data!M8," / "),Raw_Data!M8)</f>
        <v>Slow internet / Internet lent;Call drops / Coupures d'appel;No signal / Pas de rÃ©seau;Poor call quality / Mauvaise qualitÃ© dâ€™appel</v>
      </c>
      <c r="N8" s="3" t="str">
        <f ca="1">IFERROR(textbefore(Raw_Data!N8," / "),Raw_Data!N8)</f>
        <v>Often / Souvent</v>
      </c>
      <c r="O8" s="3" t="str">
        <f ca="1">IFERROR(textbefore(Raw_Data!O8," / "),Raw_Data!O8)</f>
        <v>Afternoon / AprÃ¨s-midi</v>
      </c>
      <c r="P8" s="3" t="str">
        <f ca="1">IFERROR(textbefore(Raw_Data!P8," / "),Raw_Data!P8)</f>
        <v>School/Work / Ã‰cole/Travail</v>
      </c>
      <c r="Q8" s="3" t="str">
        <f ca="1">IFERROR(textbefore(Raw_Data!Q8," / "),Raw_Data!Q8)</f>
        <v>Weak / Faible</v>
      </c>
      <c r="R8" s="3" t="str">
        <f ca="1">IFERROR(textbefore(Raw_Data!R8," / "),Raw_Data!R8)</f>
        <v>Severely / Beaucoup</v>
      </c>
      <c r="S8" s="3" t="str">
        <f ca="1">IFERROR(textbefore(Raw_Data!S8," / "),Raw_Data!S8)</f>
        <v>No / Non</v>
      </c>
      <c r="T8" s="3" t="str">
        <f ca="1">IFERROR(textbefore(Raw_Data!T8," / "),Raw_Data!T8)</f>
        <v>No / Non</v>
      </c>
      <c r="U8" s="3" t="str">
        <f ca="1">IFERROR(textbefore(Raw_Data!U8," / "),Raw_Data!U8)</f>
        <v>Every time / Ã€ chaque fois</v>
      </c>
      <c r="V8" s="3" t="str">
        <f ca="1">IFERROR(textbefore(Raw_Data!V8," / "),Raw_Data!V8)</f>
        <v>No / Non</v>
      </c>
      <c r="W8" s="3" t="str">
        <f ca="1">IFERROR(textbefore(Raw_Data!W8," / "),Raw_Data!W8)</f>
        <v>Privacy / ConfidentialitÃ©;Security / SÃ©curitÃ©</v>
      </c>
    </row>
    <row r="9" spans="1:23" ht="24.75" customHeight="1" x14ac:dyDescent="0.35">
      <c r="A9" s="3" t="str">
        <f>Raw_Data!A9</f>
        <v>2026/04/23 11:34:00 PM GMT+1</v>
      </c>
      <c r="B9" s="3" t="str">
        <f>Raw_Data!B9</f>
        <v>emmanugwe31@gmail.com</v>
      </c>
      <c r="C9" s="3" t="str">
        <f ca="1">IFERROR(textbefore(Raw_Data!C9," / "),Raw_Data!C9)</f>
        <v>MTN;Orange;Camtel</v>
      </c>
      <c r="D9" s="3" t="str">
        <f ca="1">IFERROR(textbefore(Raw_Data!D9," / "),Raw_Data!D9)</f>
        <v>North West Region</v>
      </c>
      <c r="E9" s="3" t="str">
        <f ca="1">IFERROR(textbefore(Raw_Data!E9," / "),Raw_Data!E9)</f>
        <v>Android</v>
      </c>
      <c r="F9" s="3" t="str">
        <f ca="1">IFERROR(textbefore(Raw_Data!F9," / "),Raw_Data!F9)</f>
        <v>20-25</v>
      </c>
      <c r="G9" s="3" t="str">
        <f ca="1">IFERROR(textbefore(textbefore(Raw_Data!G9,";")," / "),IFERROR(textbefore(Raw_Data!G9," / "),Raw_Data!G9))</f>
        <v>Very often / TrÃ¨s souvent</v>
      </c>
      <c r="H9" s="3" t="str">
        <f ca="1">IFERROR(textbefore(Raw_Data!H9," / "),Raw_Data!H9)</f>
        <v xml:space="preserve">Social media / RÃ©seaux sociaux;Messaging / Messagerie (WhatsApp, etc.);Online classes/work / Cours ou travail en ligne;Browsing / Navigation;Do surveys to help improve network </v>
      </c>
      <c r="I9" s="3" t="str">
        <f ca="1">IFERROR(textbefore(Raw_Data!I9," / "),Raw_Data!I9)</f>
        <v>Average / Moyenne</v>
      </c>
      <c r="J9" s="3">
        <f>Raw_Data!J9</f>
        <v>3</v>
      </c>
      <c r="K9" s="3" t="str">
        <f ca="1">IFERROR(textbefore(Raw_Data!K9," / "),Raw_Data!K9)</f>
        <v>Average / Moyenne</v>
      </c>
      <c r="L9" s="3" t="str">
        <f ca="1">IFERROR(textbefore(Raw_Data!L9," / "),Raw_Data!L9)</f>
        <v>Sometimes / Parfois</v>
      </c>
      <c r="M9" s="3" t="str">
        <f ca="1">IFERROR(textbefore(Raw_Data!M9," / "),Raw_Data!M9)</f>
        <v>Slow internet / Internet lent;Network outages / Pannes rÃ©seau</v>
      </c>
      <c r="N9" s="3" t="str">
        <f ca="1">IFERROR(textbefore(Raw_Data!N9," / "),Raw_Data!N9)</f>
        <v>Often / Souvent</v>
      </c>
      <c r="O9" s="3" t="str">
        <f ca="1">IFERROR(textbefore(Raw_Data!O9," / "),Raw_Data!O9)</f>
        <v>Afternoon / AprÃ¨s-midi</v>
      </c>
      <c r="P9" s="3" t="str">
        <f ca="1">IFERROR(textbefore(Raw_Data!P9," / "),Raw_Data!P9)</f>
        <v>Everywhere / Partout</v>
      </c>
      <c r="Q9" s="3" t="str">
        <f ca="1">IFERROR(textbefore(Raw_Data!Q9," / "),Raw_Data!Q9)</f>
        <v>Moderate / Moyen</v>
      </c>
      <c r="R9" s="3" t="str">
        <f ca="1">IFERROR(textbefore(Raw_Data!R9," / "),Raw_Data!R9)</f>
        <v>Moderately / Moyennement</v>
      </c>
      <c r="S9" s="3" t="str">
        <f ca="1">IFERROR(textbefore(Raw_Data!S9," / "),Raw_Data!S9)</f>
        <v>Yes / Oui</v>
      </c>
      <c r="T9" s="3" t="str">
        <f ca="1">IFERROR(textbefore(Raw_Data!T9," / "),Raw_Data!T9)</f>
        <v>Yes / Oui</v>
      </c>
      <c r="U9" s="3" t="str">
        <f ca="1">IFERROR(textbefore(Raw_Data!U9," / "),Raw_Data!U9)</f>
        <v>Every time / Ã€ chaque fois</v>
      </c>
      <c r="V9" s="3" t="str">
        <f ca="1">IFERROR(textbefore(Raw_Data!V9," / "),Raw_Data!V9)</f>
        <v>Yes / Oui</v>
      </c>
      <c r="W9" s="3" t="str">
        <f ca="1">IFERROR(textbefore(Raw_Data!W9," / "),Raw_Data!W9)</f>
        <v>Privacy / ConfidentialitÃ©</v>
      </c>
    </row>
    <row r="10" spans="1:23" ht="24.75" customHeight="1" x14ac:dyDescent="0.35">
      <c r="A10" s="3" t="str">
        <f>Raw_Data!A10</f>
        <v>2026/04/24 12:49:27 AM GMT+1</v>
      </c>
      <c r="B10" s="3" t="str">
        <f>Raw_Data!B10</f>
        <v>cristianoace224@gmail.com</v>
      </c>
      <c r="C10" s="3" t="str">
        <f ca="1">IFERROR(textbefore(Raw_Data!C10," / "),Raw_Data!C10)</f>
        <v>MTN;Orange</v>
      </c>
      <c r="D10" s="3" t="str">
        <f ca="1">IFERROR(textbefore(Raw_Data!D10," / "),Raw_Data!D10)</f>
        <v>North Region</v>
      </c>
      <c r="E10" s="3" t="str">
        <f ca="1">IFERROR(textbefore(Raw_Data!E10," / "),Raw_Data!E10)</f>
        <v>Android</v>
      </c>
      <c r="F10" s="3" t="str">
        <f ca="1">IFERROR(textbefore(Raw_Data!F10," / "),Raw_Data!F10)</f>
        <v>25 and above</v>
      </c>
      <c r="G10" s="3" t="str">
        <f ca="1">IFERROR(textbefore(textbefore(Raw_Data!G10,";")," / "),IFERROR(textbefore(Raw_Data!G10," / "),Raw_Data!G10))</f>
        <v>Very often / TrÃ¨s souvent</v>
      </c>
      <c r="H10" s="3" t="str">
        <f ca="1">IFERROR(textbefore(Raw_Data!H10," / "),Raw_Data!H10)</f>
        <v>Social media / RÃ©seaux sociaux;Video streaming / VidÃ©o (YouTube, Netflix);Messaging / Messagerie (WhatsApp, etc.);Gaming / Jeux</v>
      </c>
      <c r="I10" s="3" t="str">
        <f ca="1">IFERROR(textbefore(Raw_Data!I10," / "),Raw_Data!I10)</f>
        <v>Average / Moyenne</v>
      </c>
      <c r="J10" s="3">
        <f>Raw_Data!J10</f>
        <v>3</v>
      </c>
      <c r="K10" s="3" t="str">
        <f ca="1">IFERROR(textbefore(Raw_Data!K10," / "),Raw_Data!K10)</f>
        <v>Average / Moyenne</v>
      </c>
      <c r="L10" s="3" t="str">
        <f ca="1">IFERROR(textbefore(Raw_Data!L10," / "),Raw_Data!L10)</f>
        <v>Sometimes / Parfois</v>
      </c>
      <c r="M10" s="3" t="str">
        <f ca="1">IFERROR(textbefore(Raw_Data!M10," / "),Raw_Data!M10)</f>
        <v>No signal / Pas de rÃ©seau</v>
      </c>
      <c r="N10" s="3" t="str">
        <f ca="1">IFERROR(textbefore(Raw_Data!N10," / "),Raw_Data!N10)</f>
        <v>Sometimes / Parfois</v>
      </c>
      <c r="O10" s="3" t="str">
        <f ca="1">IFERROR(textbefore(Raw_Data!O10," / "),Raw_Data!O10)</f>
        <v>Afternoon / AprÃ¨s-midi</v>
      </c>
      <c r="P10" s="3" t="str">
        <f ca="1">IFERROR(textbefore(Raw_Data!P10," / "),Raw_Data!P10)</f>
        <v>Everywhere / Partout</v>
      </c>
      <c r="Q10" s="3" t="str">
        <f ca="1">IFERROR(textbefore(Raw_Data!Q10," / "),Raw_Data!Q10)</f>
        <v>Moderate / Moyen</v>
      </c>
      <c r="R10" s="3" t="str">
        <f ca="1">IFERROR(textbefore(Raw_Data!R10," / "),Raw_Data!R10)</f>
        <v>Severely / Beaucoup</v>
      </c>
      <c r="S10" s="3" t="str">
        <f ca="1">IFERROR(textbefore(Raw_Data!S10," / "),Raw_Data!S10)</f>
        <v>No / Non</v>
      </c>
      <c r="T10" s="3" t="str">
        <f ca="1">IFERROR(textbefore(Raw_Data!T10," / "),Raw_Data!T10)</f>
        <v>No / Non</v>
      </c>
      <c r="U10" s="3" t="str">
        <f ca="1">IFERROR(textbefore(Raw_Data!U10," / "),Raw_Data!U10)</f>
        <v>Only when there is a problem / Seulement en cas de problÃ¨me</v>
      </c>
      <c r="V10" s="3" t="str">
        <f ca="1">IFERROR(textbefore(Raw_Data!V10," / "),Raw_Data!V10)</f>
        <v>No / Non</v>
      </c>
      <c r="W10" s="3" t="str">
        <f ca="1">IFERROR(textbefore(Raw_Data!W10," / "),Raw_Data!W10)</f>
        <v>None / Aucune</v>
      </c>
    </row>
    <row r="11" spans="1:23" ht="24.75" customHeight="1" x14ac:dyDescent="0.35">
      <c r="A11" s="3" t="str">
        <f>Raw_Data!A11</f>
        <v>2026/04/24 12:54:34 AM GMT+1</v>
      </c>
      <c r="B11" s="3" t="str">
        <f>Raw_Data!B11</f>
        <v>isaiahafese@gmail.com</v>
      </c>
      <c r="C11" s="3" t="str">
        <f ca="1">IFERROR(textbefore(Raw_Data!C11," / "),Raw_Data!C11)</f>
        <v>MTN</v>
      </c>
      <c r="D11" s="3" t="str">
        <f ca="1">IFERROR(textbefore(Raw_Data!D11," / "),Raw_Data!D11)</f>
        <v>North West Region</v>
      </c>
      <c r="E11" s="3" t="str">
        <f ca="1">IFERROR(textbefore(Raw_Data!E11," / "),Raw_Data!E11)</f>
        <v>iPhone</v>
      </c>
      <c r="F11" s="3" t="str">
        <f ca="1">IFERROR(textbefore(Raw_Data!F11," / "),Raw_Data!F11)</f>
        <v>15-20</v>
      </c>
      <c r="G11" s="3" t="str">
        <f ca="1">IFERROR(textbefore(textbefore(Raw_Data!G11,";")," / "),IFERROR(textbefore(Raw_Data!G11," / "),Raw_Data!G11))</f>
        <v>Very often / TrÃ¨s souvent</v>
      </c>
      <c r="H11" s="3" t="str">
        <f ca="1">IFERROR(textbefore(Raw_Data!H11," / "),Raw_Data!H11)</f>
        <v>Classified</v>
      </c>
      <c r="I11" s="3" t="str">
        <f ca="1">IFERROR(textbefore(Raw_Data!I11," / "),Raw_Data!I11)</f>
        <v>Good / Bonne</v>
      </c>
      <c r="J11" s="3">
        <f>Raw_Data!J11</f>
        <v>4</v>
      </c>
      <c r="K11" s="3" t="str">
        <f ca="1">IFERROR(textbefore(Raw_Data!K11," / "),Raw_Data!K11)</f>
        <v>Good / Stable</v>
      </c>
      <c r="L11" s="3" t="str">
        <f ca="1">IFERROR(textbefore(Raw_Data!L11," / "),Raw_Data!L11)</f>
        <v>Never / Jamais</v>
      </c>
      <c r="M11" s="3" t="str">
        <f ca="1">IFERROR(textbefore(Raw_Data!M11," / "),Raw_Data!M11)</f>
        <v>Slow internet / Internet lent</v>
      </c>
      <c r="N11" s="3" t="str">
        <f ca="1">IFERROR(textbefore(Raw_Data!N11," / "),Raw_Data!N11)</f>
        <v>Sometimes / Parfois</v>
      </c>
      <c r="O11" s="3" t="str">
        <f ca="1">IFERROR(textbefore(Raw_Data!O11," / "),Raw_Data!O11)</f>
        <v>Afternoon / AprÃ¨s-midi</v>
      </c>
      <c r="P11" s="3" t="str">
        <f ca="1">IFERROR(textbefore(Raw_Data!P11," / "),Raw_Data!P11)</f>
        <v>School/Work / Ã‰cole/Travail</v>
      </c>
      <c r="Q11" s="3" t="str">
        <f ca="1">IFERROR(textbefore(Raw_Data!Q11," / "),Raw_Data!Q11)</f>
        <v>Moderate / Moyen</v>
      </c>
      <c r="R11" s="3" t="str">
        <f ca="1">IFERROR(textbefore(Raw_Data!R11," / "),Raw_Data!R11)</f>
        <v>Severely / Beaucoup</v>
      </c>
      <c r="S11" s="3" t="str">
        <f ca="1">IFERROR(textbefore(Raw_Data!S11," / "),Raw_Data!S11)</f>
        <v>Yes / Oui</v>
      </c>
      <c r="T11" s="3" t="str">
        <f ca="1">IFERROR(textbefore(Raw_Data!T11," / "),Raw_Data!T11)</f>
        <v>No / Non</v>
      </c>
      <c r="U11" s="3" t="str">
        <f ca="1">IFERROR(textbefore(Raw_Data!U11," / "),Raw_Data!U11)</f>
        <v>Once a day / Une fois par jour</v>
      </c>
      <c r="V11" s="3" t="str">
        <f ca="1">IFERROR(textbefore(Raw_Data!V11," / "),Raw_Data!V11)</f>
        <v>No / Non</v>
      </c>
      <c r="W11" s="3" t="str">
        <f ca="1">IFERROR(textbefore(Raw_Data!W11," / "),Raw_Data!W11)</f>
        <v>Privacy / ConfidentialitÃ©</v>
      </c>
    </row>
    <row r="12" spans="1:23" ht="24.75" customHeight="1" x14ac:dyDescent="0.35">
      <c r="A12" s="3" t="str">
        <f>Raw_Data!A12</f>
        <v>2026/04/24 1:01:49 AM GMT+1</v>
      </c>
      <c r="B12" s="3" t="str">
        <f>Raw_Data!B12</f>
        <v>teyimdiane@gmail.com</v>
      </c>
      <c r="C12" s="3" t="str">
        <f ca="1">IFERROR(textbefore(Raw_Data!C12," / "),Raw_Data!C12)</f>
        <v>MTN</v>
      </c>
      <c r="D12" s="3" t="str">
        <f ca="1">IFERROR(textbefore(Raw_Data!D12," / "),Raw_Data!D12)</f>
        <v>Southwest Region</v>
      </c>
      <c r="E12" s="3" t="str">
        <f ca="1">IFERROR(textbefore(Raw_Data!E12," / "),Raw_Data!E12)</f>
        <v>iPhone</v>
      </c>
      <c r="F12" s="3" t="str">
        <f ca="1">IFERROR(textbefore(Raw_Data!F12," / "),Raw_Data!F12)</f>
        <v>20-25</v>
      </c>
      <c r="G12" s="3" t="str">
        <f ca="1">IFERROR(textbefore(textbefore(Raw_Data!G12,";")," / "),IFERROR(textbefore(Raw_Data!G12," / "),Raw_Data!G12))</f>
        <v>Very often / TrÃ¨s souvent</v>
      </c>
      <c r="H12" s="3" t="str">
        <f ca="1">IFERROR(textbefore(Raw_Data!H12," / "),Raw_Data!H12)</f>
        <v>Social media / RÃ©seaux sociaux;Messaging / Messagerie (WhatsApp, etc.)</v>
      </c>
      <c r="I12" s="3" t="str">
        <f ca="1">IFERROR(textbefore(Raw_Data!I12," / "),Raw_Data!I12)</f>
        <v>Poor / Mauvaise</v>
      </c>
      <c r="J12" s="3">
        <f>Raw_Data!J12</f>
        <v>3</v>
      </c>
      <c r="K12" s="3" t="str">
        <f ca="1">IFERROR(textbefore(Raw_Data!K12," / "),Raw_Data!K12)</f>
        <v>Poor / Instable</v>
      </c>
      <c r="L12" s="3" t="str">
        <f ca="1">IFERROR(textbefore(Raw_Data!L12," / "),Raw_Data!L12)</f>
        <v>Often / Souvent</v>
      </c>
      <c r="M12" s="3" t="str">
        <f ca="1">IFERROR(textbefore(Raw_Data!M12," / "),Raw_Data!M12)</f>
        <v>Slow internet / Internet lent;No signal / Pas de rÃ©seau;Poor call quality / Mauvaise qualitÃ© dâ€™appel</v>
      </c>
      <c r="N12" s="3" t="str">
        <f ca="1">IFERROR(textbefore(Raw_Data!N12," / "),Raw_Data!N12)</f>
        <v>Sometimes / Parfois</v>
      </c>
      <c r="O12" s="3" t="str">
        <f ca="1">IFERROR(textbefore(Raw_Data!O12," / "),Raw_Data!O12)</f>
        <v>Afternoon / AprÃ¨s-midi</v>
      </c>
      <c r="P12" s="3" t="str">
        <f ca="1">IFERROR(textbefore(Raw_Data!P12," / "),Raw_Data!P12)</f>
        <v>Everywhere / Partout</v>
      </c>
      <c r="Q12" s="3" t="str">
        <f ca="1">IFERROR(textbefore(Raw_Data!Q12," / "),Raw_Data!Q12)</f>
        <v>Moderate / Moyen</v>
      </c>
      <c r="R12" s="3" t="str">
        <f ca="1">IFERROR(textbefore(Raw_Data!R12," / "),Raw_Data!R12)</f>
        <v>Moderately / Moyennement</v>
      </c>
      <c r="S12" s="3" t="str">
        <f ca="1">IFERROR(textbefore(Raw_Data!S12," / "),Raw_Data!S12)</f>
        <v>Yes / Oui</v>
      </c>
      <c r="T12" s="3" t="str">
        <f ca="1">IFERROR(textbefore(Raw_Data!T12," / "),Raw_Data!T12)</f>
        <v>No / Non</v>
      </c>
      <c r="U12" s="3" t="str">
        <f ca="1">IFERROR(textbefore(Raw_Data!U12," / "),Raw_Data!U12)</f>
        <v>Only when there is a problem / Seulement en cas de problÃ¨me</v>
      </c>
      <c r="V12" s="3" t="str">
        <f ca="1">IFERROR(textbefore(Raw_Data!V12," / "),Raw_Data!V12)</f>
        <v>No / Non</v>
      </c>
      <c r="W12" s="3" t="str">
        <f ca="1">IFERROR(textbefore(Raw_Data!W12," / "),Raw_Data!W12)</f>
        <v>Privacy / ConfidentialitÃ©</v>
      </c>
    </row>
    <row r="13" spans="1:23" ht="24.75" customHeight="1" x14ac:dyDescent="0.35">
      <c r="A13" s="3" t="str">
        <f>Raw_Data!A13</f>
        <v>2026/04/24 1:44:54 AM GMT+1</v>
      </c>
      <c r="B13" s="3" t="str">
        <f>Raw_Data!B13</f>
        <v>ndanjongdan@gmail.com</v>
      </c>
      <c r="C13" s="3" t="str">
        <f ca="1">IFERROR(textbefore(Raw_Data!C13," / "),Raw_Data!C13)</f>
        <v>MTN</v>
      </c>
      <c r="D13" s="3" t="str">
        <f ca="1">IFERROR(textbefore(Raw_Data!D13," / "),Raw_Data!D13)</f>
        <v>North West Region</v>
      </c>
      <c r="E13" s="3" t="str">
        <f ca="1">IFERROR(textbefore(Raw_Data!E13," / "),Raw_Data!E13)</f>
        <v>Android</v>
      </c>
      <c r="F13" s="3" t="str">
        <f ca="1">IFERROR(textbefore(Raw_Data!F13," / "),Raw_Data!F13)</f>
        <v>20-25</v>
      </c>
      <c r="G13" s="3" t="str">
        <f ca="1">IFERROR(textbefore(textbefore(Raw_Data!G13,";")," / "),IFERROR(textbefore(Raw_Data!G13," / "),Raw_Data!G13))</f>
        <v>Very often / TrÃ¨s souvent</v>
      </c>
      <c r="H13" s="3" t="str">
        <f ca="1">IFERROR(textbefore(Raw_Data!H13," / "),Raw_Data!H13)</f>
        <v>Social media / RÃ©seaux sociaux;Messaging / Messagerie (WhatsApp, etc.);Online classes/work / Cours ou travail en ligne;Browsing / Navigation</v>
      </c>
      <c r="I13" s="3" t="str">
        <f ca="1">IFERROR(textbefore(Raw_Data!I13," / "),Raw_Data!I13)</f>
        <v>Poor / Mauvaise</v>
      </c>
      <c r="J13" s="3">
        <f>Raw_Data!J13</f>
        <v>2</v>
      </c>
      <c r="K13" s="3" t="str">
        <f ca="1">IFERROR(textbefore(Raw_Data!K13," / "),Raw_Data!K13)</f>
        <v>Average / Moyenne</v>
      </c>
      <c r="L13" s="3" t="str">
        <f ca="1">IFERROR(textbefore(Raw_Data!L13," / "),Raw_Data!L13)</f>
        <v>Often / Souvent</v>
      </c>
      <c r="M13" s="3" t="str">
        <f ca="1">IFERROR(textbefore(Raw_Data!M13," / "),Raw_Data!M13)</f>
        <v>Slow internet / Internet lent;Poor call quality / Mauvaise qualitÃ© dâ€™appel;Network outages / Pannes rÃ©seau</v>
      </c>
      <c r="N13" s="3" t="str">
        <f ca="1">IFERROR(textbefore(Raw_Data!N13," / "),Raw_Data!N13)</f>
        <v>Often / Souvent</v>
      </c>
      <c r="O13" s="3" t="str">
        <f ca="1">IFERROR(textbefore(Raw_Data!O13," / "),Raw_Data!O13)</f>
        <v>Afternoon / AprÃ¨s-midi</v>
      </c>
      <c r="P13" s="3" t="str">
        <f ca="1">IFERROR(textbefore(Raw_Data!P13," / "),Raw_Data!P13)</f>
        <v>Everywhere / Partout</v>
      </c>
      <c r="Q13" s="3" t="str">
        <f ca="1">IFERROR(textbefore(Raw_Data!Q13," / "),Raw_Data!Q13)</f>
        <v>Moderate / Moyen</v>
      </c>
      <c r="R13" s="3" t="str">
        <f ca="1">IFERROR(textbefore(Raw_Data!R13," / "),Raw_Data!R13)</f>
        <v>Severely / Beaucoup</v>
      </c>
      <c r="S13" s="3" t="str">
        <f ca="1">IFERROR(textbefore(Raw_Data!S13," / "),Raw_Data!S13)</f>
        <v>Yes / Oui</v>
      </c>
      <c r="T13" s="3" t="str">
        <f ca="1">IFERROR(textbefore(Raw_Data!T13," / "),Raw_Data!T13)</f>
        <v>No / Non</v>
      </c>
      <c r="U13" s="3" t="str">
        <f ca="1">IFERROR(textbefore(Raw_Data!U13," / "),Raw_Data!U13)</f>
        <v>Only when there is a problem / Seulement en cas de problÃ¨me</v>
      </c>
      <c r="V13" s="3" t="str">
        <f ca="1">IFERROR(textbefore(Raw_Data!V13," / "),Raw_Data!V13)</f>
        <v>No / Non</v>
      </c>
      <c r="W13" s="3" t="str">
        <f ca="1">IFERROR(textbefore(Raw_Data!W13," / "),Raw_Data!W13)</f>
        <v>Privacy / ConfidentialitÃ©;Data usage / Consommation de donnÃ©es;Security / SÃ©curitÃ©</v>
      </c>
    </row>
    <row r="14" spans="1:23" ht="24.75" customHeight="1" x14ac:dyDescent="0.35">
      <c r="A14" s="3" t="str">
        <f>Raw_Data!A14</f>
        <v>2026/04/24 2:09:25 AM GMT+1</v>
      </c>
      <c r="B14" s="3" t="str">
        <f>Raw_Data!B14</f>
        <v>nkengbihprecious541@gmail.com</v>
      </c>
      <c r="C14" s="3" t="str">
        <f ca="1">IFERROR(textbefore(Raw_Data!C14," / "),Raw_Data!C14)</f>
        <v>MTN</v>
      </c>
      <c r="D14" s="3" t="str">
        <f ca="1">IFERROR(textbefore(Raw_Data!D14," / "),Raw_Data!D14)</f>
        <v>Southwest Region</v>
      </c>
      <c r="E14" s="3" t="str">
        <f ca="1">IFERROR(textbefore(Raw_Data!E14," / "),Raw_Data!E14)</f>
        <v>Android</v>
      </c>
      <c r="F14" s="3" t="str">
        <f ca="1">IFERROR(textbefore(Raw_Data!F14," / "),Raw_Data!F14)</f>
        <v>15-20</v>
      </c>
      <c r="G14" s="3" t="str">
        <f ca="1">IFERROR(textbefore(textbefore(Raw_Data!G14,";")," / "),IFERROR(textbefore(Raw_Data!G14," / "),Raw_Data!G14))</f>
        <v>Very often / TrÃ¨s souvent</v>
      </c>
      <c r="H14" s="3" t="str">
        <f ca="1">IFERROR(textbefore(Raw_Data!H14," / "),Raw_Data!H14)</f>
        <v>Messaging / Messagerie (WhatsApp, etc.);Online classes/work / Cours ou travail en ligne</v>
      </c>
      <c r="I14" s="3" t="str">
        <f ca="1">IFERROR(textbefore(Raw_Data!I14," / "),Raw_Data!I14)</f>
        <v>Poor / Mauvaise</v>
      </c>
      <c r="J14" s="3">
        <f>Raw_Data!J14</f>
        <v>3</v>
      </c>
      <c r="K14" s="3" t="str">
        <f ca="1">IFERROR(textbefore(Raw_Data!K14," / "),Raw_Data!K14)</f>
        <v>Poor / Instable</v>
      </c>
      <c r="L14" s="3" t="str">
        <f ca="1">IFERROR(textbefore(Raw_Data!L14," / "),Raw_Data!L14)</f>
        <v>Often / Souvent</v>
      </c>
      <c r="M14" s="3" t="str">
        <f ca="1">IFERROR(textbefore(Raw_Data!M14," / "),Raw_Data!M14)</f>
        <v>Slow internet / Internet lent;Call drops / Coupures d'appel;No signal / Pas de rÃ©seau</v>
      </c>
      <c r="N14" s="3" t="str">
        <f ca="1">IFERROR(textbefore(Raw_Data!N14," / "),Raw_Data!N14)</f>
        <v>Often / Souvent</v>
      </c>
      <c r="O14" s="3" t="str">
        <f ca="1">IFERROR(textbefore(Raw_Data!O14," / "),Raw_Data!O14)</f>
        <v>Afternoon / AprÃ¨s-midi</v>
      </c>
      <c r="P14" s="3" t="str">
        <f ca="1">IFERROR(textbefore(Raw_Data!P14," / "),Raw_Data!P14)</f>
        <v>School/Work / Ã‰cole/Travail;On the road / En dÃ©placement</v>
      </c>
      <c r="Q14" s="3" t="str">
        <f ca="1">IFERROR(textbefore(Raw_Data!Q14," / "),Raw_Data!Q14)</f>
        <v>Weak / Faible</v>
      </c>
      <c r="R14" s="3" t="str">
        <f ca="1">IFERROR(textbefore(Raw_Data!R14," / "),Raw_Data!R14)</f>
        <v>Severely / Beaucoup</v>
      </c>
      <c r="S14" s="3" t="str">
        <f ca="1">IFERROR(textbefore(Raw_Data!S14," / "),Raw_Data!S14)</f>
        <v>Yes / Oui</v>
      </c>
      <c r="T14" s="3" t="str">
        <f ca="1">IFERROR(textbefore(Raw_Data!T14," / "),Raw_Data!T14)</f>
        <v>Yes / Oui</v>
      </c>
      <c r="U14" s="3" t="str">
        <f ca="1">IFERROR(textbefore(Raw_Data!U14," / "),Raw_Data!U14)</f>
        <v>Only when there is a problem / Seulement en cas de problÃ¨me</v>
      </c>
      <c r="V14" s="3" t="str">
        <f ca="1">IFERROR(textbefore(Raw_Data!V14," / "),Raw_Data!V14)</f>
        <v>No / Non</v>
      </c>
      <c r="W14" s="3" t="str">
        <f ca="1">IFERROR(textbefore(Raw_Data!W14," / "),Raw_Data!W14)</f>
        <v>Privacy / ConfidentialitÃ©;Battery usage / Batterie;Data usage / Consommation de donnÃ©es;Security / SÃ©curitÃ©</v>
      </c>
    </row>
    <row r="15" spans="1:23" ht="24.75" customHeight="1" x14ac:dyDescent="0.35">
      <c r="A15" s="3" t="str">
        <f>Raw_Data!A15</f>
        <v>2026/04/24 3:27:12 AM GMT+1</v>
      </c>
      <c r="B15" s="3" t="str">
        <f>Raw_Data!B15</f>
        <v>f732730@gmail.com</v>
      </c>
      <c r="C15" s="3" t="str">
        <f ca="1">IFERROR(textbefore(Raw_Data!C15," / "),Raw_Data!C15)</f>
        <v>MTN</v>
      </c>
      <c r="D15" s="3" t="str">
        <f ca="1">IFERROR(textbefore(Raw_Data!D15," / "),Raw_Data!D15)</f>
        <v>North West Region</v>
      </c>
      <c r="E15" s="3" t="str">
        <f ca="1">IFERROR(textbefore(Raw_Data!E15," / "),Raw_Data!E15)</f>
        <v>Android</v>
      </c>
      <c r="F15" s="3" t="str">
        <f ca="1">IFERROR(textbefore(Raw_Data!F15," / "),Raw_Data!F15)</f>
        <v>15-20</v>
      </c>
      <c r="G15" s="3" t="str">
        <f ca="1">IFERROR(textbefore(textbefore(Raw_Data!G15,";")," / "),IFERROR(textbefore(Raw_Data!G15," / "),Raw_Data!G15))</f>
        <v>Very often / TrÃ¨s souvent</v>
      </c>
      <c r="H15" s="3" t="str">
        <f ca="1">IFERROR(textbefore(Raw_Data!H15," / "),Raw_Data!H15)</f>
        <v>Social media / RÃ©seaux sociaux;Messaging / Messagerie (WhatsApp, etc.);Online classes/work / Cours ou travail en ligne</v>
      </c>
      <c r="I15" s="3" t="str">
        <f ca="1">IFERROR(textbefore(Raw_Data!I15," / "),Raw_Data!I15)</f>
        <v>Average / Moyenne</v>
      </c>
      <c r="J15" s="3">
        <f>Raw_Data!J15</f>
        <v>3</v>
      </c>
      <c r="K15" s="3" t="str">
        <f ca="1">IFERROR(textbefore(Raw_Data!K15," / "),Raw_Data!K15)</f>
        <v>Average / Moyenne</v>
      </c>
      <c r="L15" s="3" t="str">
        <f ca="1">IFERROR(textbefore(Raw_Data!L15," / "),Raw_Data!L15)</f>
        <v>Often / Souvent</v>
      </c>
      <c r="M15" s="3" t="str">
        <f ca="1">IFERROR(textbefore(Raw_Data!M15," / "),Raw_Data!M15)</f>
        <v>Slow internet / Internet lent</v>
      </c>
      <c r="N15" s="3" t="str">
        <f ca="1">IFERROR(textbefore(Raw_Data!N15," / "),Raw_Data!N15)</f>
        <v>Very often / TrÃ¨s souvent</v>
      </c>
      <c r="O15" s="3" t="str">
        <f ca="1">IFERROR(textbefore(Raw_Data!O15," / "),Raw_Data!O15)</f>
        <v>Afternoon / AprÃ¨s-midi</v>
      </c>
      <c r="P15" s="3" t="str">
        <f ca="1">IFERROR(textbefore(Raw_Data!P15," / "),Raw_Data!P15)</f>
        <v>School/Work / Ã‰cole/Travail</v>
      </c>
      <c r="Q15" s="3" t="str">
        <f ca="1">IFERROR(textbefore(Raw_Data!Q15," / "),Raw_Data!Q15)</f>
        <v>Moderate / Moyen</v>
      </c>
      <c r="R15" s="3" t="str">
        <f ca="1">IFERROR(textbefore(Raw_Data!R15," / "),Raw_Data!R15)</f>
        <v>Moderately / Moyennement</v>
      </c>
      <c r="S15" s="3" t="str">
        <f ca="1">IFERROR(textbefore(Raw_Data!S15," / "),Raw_Data!S15)</f>
        <v>Yes / Oui</v>
      </c>
      <c r="T15" s="3" t="str">
        <f ca="1">IFERROR(textbefore(Raw_Data!T15," / "),Raw_Data!T15)</f>
        <v>Yes / Oui</v>
      </c>
      <c r="U15" s="3" t="str">
        <f ca="1">IFERROR(textbefore(Raw_Data!U15," / "),Raw_Data!U15)</f>
        <v>Only when there is a problem / Seulement en cas de problÃ¨me</v>
      </c>
      <c r="V15" s="3" t="str">
        <f ca="1">IFERROR(textbefore(Raw_Data!V15," / "),Raw_Data!V15)</f>
        <v>No / Non</v>
      </c>
      <c r="W15" s="3" t="str">
        <f ca="1">IFERROR(textbefore(Raw_Data!W15," / "),Raw_Data!W15)</f>
        <v>Security / SÃ©curitÃ©</v>
      </c>
    </row>
    <row r="16" spans="1:23" ht="24.75" customHeight="1" x14ac:dyDescent="0.35">
      <c r="A16" s="3" t="str">
        <f>Raw_Data!A16</f>
        <v>2026/04/24 4:44:48 AM GMT+1</v>
      </c>
      <c r="B16" s="3" t="str">
        <f>Raw_Data!B16</f>
        <v>lawrantineyibeh@gmail.com</v>
      </c>
      <c r="C16" s="3" t="str">
        <f ca="1">IFERROR(textbefore(Raw_Data!C16," / "),Raw_Data!C16)</f>
        <v>MTN</v>
      </c>
      <c r="D16" s="3" t="str">
        <f ca="1">IFERROR(textbefore(Raw_Data!D16," / "),Raw_Data!D16)</f>
        <v>North West Region</v>
      </c>
      <c r="E16" s="3" t="str">
        <f ca="1">IFERROR(textbefore(Raw_Data!E16," / "),Raw_Data!E16)</f>
        <v>Android</v>
      </c>
      <c r="F16" s="3" t="str">
        <f ca="1">IFERROR(textbefore(Raw_Data!F16," / "),Raw_Data!F16)</f>
        <v>15-20</v>
      </c>
      <c r="G16" s="3" t="str">
        <f ca="1">IFERROR(textbefore(textbefore(Raw_Data!G16,";")," / "),IFERROR(textbefore(Raw_Data!G16," / "),Raw_Data!G16))</f>
        <v>Very often / TrÃ¨s souvent</v>
      </c>
      <c r="H16" s="3" t="str">
        <f ca="1">IFERROR(textbefore(Raw_Data!H16," / "),Raw_Data!H16)</f>
        <v>Browsing / Navigation</v>
      </c>
      <c r="I16" s="3" t="str">
        <f ca="1">IFERROR(textbefore(Raw_Data!I16," / "),Raw_Data!I16)</f>
        <v>Average / Moyenne</v>
      </c>
      <c r="J16" s="3">
        <f>Raw_Data!J16</f>
        <v>3</v>
      </c>
      <c r="K16" s="3" t="str">
        <f ca="1">IFERROR(textbefore(Raw_Data!K16," / "),Raw_Data!K16)</f>
        <v>Average / Moyenne</v>
      </c>
      <c r="L16" s="3" t="str">
        <f ca="1">IFERROR(textbefore(Raw_Data!L16," / "),Raw_Data!L16)</f>
        <v>Often / Souvent</v>
      </c>
      <c r="M16" s="3" t="str">
        <f ca="1">IFERROR(textbefore(Raw_Data!M16," / "),Raw_Data!M16)</f>
        <v>No signal / Pas de rÃ©seau</v>
      </c>
      <c r="N16" s="3" t="str">
        <f ca="1">IFERROR(textbefore(Raw_Data!N16," / "),Raw_Data!N16)</f>
        <v>Very often / TrÃ¨s souvent</v>
      </c>
      <c r="O16" s="3" t="str">
        <f ca="1">IFERROR(textbefore(Raw_Data!O16," / "),Raw_Data!O16)</f>
        <v>Afternoon / AprÃ¨s-midi</v>
      </c>
      <c r="P16" s="3" t="str">
        <f ca="1">IFERROR(textbefore(Raw_Data!P16," / "),Raw_Data!P16)</f>
        <v>School/Work / Ã‰cole/Travail</v>
      </c>
      <c r="Q16" s="3" t="str">
        <f ca="1">IFERROR(textbefore(Raw_Data!Q16," / "),Raw_Data!Q16)</f>
        <v>Moderate / Moyen</v>
      </c>
      <c r="R16" s="3" t="str">
        <f ca="1">IFERROR(textbefore(Raw_Data!R16," / "),Raw_Data!R16)</f>
        <v>Moderately / Moyennement</v>
      </c>
      <c r="S16" s="3" t="str">
        <f ca="1">IFERROR(textbefore(Raw_Data!S16," / "),Raw_Data!S16)</f>
        <v>Yes / Oui</v>
      </c>
      <c r="T16" s="3" t="str">
        <f ca="1">IFERROR(textbefore(Raw_Data!T16," / "),Raw_Data!T16)</f>
        <v>Yes / Oui</v>
      </c>
      <c r="U16" s="3" t="str">
        <f ca="1">IFERROR(textbefore(Raw_Data!U16," / "),Raw_Data!U16)</f>
        <v>Only when there is a problem / Seulement en cas de problÃ¨me</v>
      </c>
      <c r="V16" s="3" t="str">
        <f ca="1">IFERROR(textbefore(Raw_Data!V16," / "),Raw_Data!V16)</f>
        <v>Yes / Oui</v>
      </c>
      <c r="W16" s="3" t="str">
        <f ca="1">IFERROR(textbefore(Raw_Data!W16," / "),Raw_Data!W16)</f>
        <v>Privacy / ConfidentialitÃ©;Battery usage / Batterie</v>
      </c>
    </row>
    <row r="17" spans="1:23" ht="24.75" customHeight="1" x14ac:dyDescent="0.35">
      <c r="A17" s="3" t="str">
        <f>Raw_Data!A17</f>
        <v>2026/04/24 5:52:19 AM GMT+1</v>
      </c>
      <c r="B17" s="3" t="str">
        <f>Raw_Data!B17</f>
        <v>clerksonpenn8@gmail.com</v>
      </c>
      <c r="C17" s="3" t="str">
        <f ca="1">IFERROR(textbefore(Raw_Data!C17," / "),Raw_Data!C17)</f>
        <v>MTN</v>
      </c>
      <c r="D17" s="3" t="str">
        <f ca="1">IFERROR(textbefore(Raw_Data!D17," / "),Raw_Data!D17)</f>
        <v>North West Region</v>
      </c>
      <c r="E17" s="3" t="str">
        <f ca="1">IFERROR(textbefore(Raw_Data!E17," / "),Raw_Data!E17)</f>
        <v>Android</v>
      </c>
      <c r="F17" s="3" t="str">
        <f ca="1">IFERROR(textbefore(Raw_Data!F17," / "),Raw_Data!F17)</f>
        <v>25 and above</v>
      </c>
      <c r="G17" s="3" t="str">
        <f ca="1">IFERROR(textbefore(textbefore(Raw_Data!G17,";")," / "),IFERROR(textbefore(Raw_Data!G17," / "),Raw_Data!G17))</f>
        <v>Very often / TrÃ¨s souvent</v>
      </c>
      <c r="H17" s="3" t="str">
        <f ca="1">IFERROR(textbefore(Raw_Data!H17," / "),Raw_Data!H17)</f>
        <v>Social media / RÃ©seaux sociaux;Messaging / Messagerie (WhatsApp, etc.);Online classes/work / Cours ou travail en ligne;Browsing / Navigation;</v>
      </c>
      <c r="I17" s="3" t="str">
        <f ca="1">IFERROR(textbefore(Raw_Data!I17," / "),Raw_Data!I17)</f>
        <v>Poor / Mauvaise</v>
      </c>
      <c r="J17" s="3">
        <f>Raw_Data!J17</f>
        <v>1</v>
      </c>
      <c r="K17" s="3" t="str">
        <f ca="1">IFERROR(textbefore(Raw_Data!K17," / "),Raw_Data!K17)</f>
        <v>Poor / Instable</v>
      </c>
      <c r="L17" s="3" t="str">
        <f ca="1">IFERROR(textbefore(Raw_Data!L17," / "),Raw_Data!L17)</f>
        <v>Often / Souvent</v>
      </c>
      <c r="M17" s="3" t="str">
        <f ca="1">IFERROR(textbefore(Raw_Data!M17," / "),Raw_Data!M17)</f>
        <v>Slow internet / Internet lent;Call drops / Coupures d'appel;No signal / Pas de rÃ©seau;Poor call quality / Mauvaise qualitÃ© dâ€™appel;Network outages / Pannes rÃ©seau</v>
      </c>
      <c r="N17" s="3" t="str">
        <f ca="1">IFERROR(textbefore(Raw_Data!N17," / "),Raw_Data!N17)</f>
        <v>Very often / TrÃ¨s souvent</v>
      </c>
      <c r="O17" s="3" t="str">
        <f ca="1">IFERROR(textbefore(Raw_Data!O17," / "),Raw_Data!O17)</f>
        <v>Night / Nuit</v>
      </c>
      <c r="P17" s="3" t="str">
        <f ca="1">IFERROR(textbefore(Raw_Data!P17," / "),Raw_Data!P17)</f>
        <v>Everywhere / Partout</v>
      </c>
      <c r="Q17" s="3" t="str">
        <f ca="1">IFERROR(textbefore(Raw_Data!Q17," / "),Raw_Data!Q17)</f>
        <v>Weak / Faible</v>
      </c>
      <c r="R17" s="3" t="str">
        <f ca="1">IFERROR(textbefore(Raw_Data!R17," / "),Raw_Data!R17)</f>
        <v>Severely / Beaucoup</v>
      </c>
      <c r="S17" s="3" t="str">
        <f ca="1">IFERROR(textbefore(Raw_Data!S17," / "),Raw_Data!S17)</f>
        <v>Yes / Oui</v>
      </c>
      <c r="T17" s="3" t="str">
        <f ca="1">IFERROR(textbefore(Raw_Data!T17," / "),Raw_Data!T17)</f>
        <v>No / Non</v>
      </c>
      <c r="U17" s="3" t="str">
        <f ca="1">IFERROR(textbefore(Raw_Data!U17," / "),Raw_Data!U17)</f>
        <v>Only when there is a problem / Seulement en cas de problÃ¨me</v>
      </c>
      <c r="V17" s="3" t="str">
        <f ca="1">IFERROR(textbefore(Raw_Data!V17," / "),Raw_Data!V17)</f>
        <v>Yes / Oui</v>
      </c>
      <c r="W17" s="3" t="str">
        <f ca="1">IFERROR(textbefore(Raw_Data!W17," / "),Raw_Data!W17)</f>
        <v>Privacy / ConfidentialitÃ©;Data usage / Consommation de donnÃ©es</v>
      </c>
    </row>
    <row r="18" spans="1:23" ht="24.75" customHeight="1" x14ac:dyDescent="0.35">
      <c r="A18" s="3" t="str">
        <f>Raw_Data!A18</f>
        <v>2026/04/24 6:06:04 AM GMT+1</v>
      </c>
      <c r="B18" s="3" t="str">
        <f>Raw_Data!B18</f>
        <v>cheforguyf16@yahoo.com</v>
      </c>
      <c r="C18" s="3" t="str">
        <f ca="1">IFERROR(textbefore(Raw_Data!C18," / "),Raw_Data!C18)</f>
        <v>MTN;Orange</v>
      </c>
      <c r="D18" s="3" t="str">
        <f ca="1">IFERROR(textbefore(Raw_Data!D18," / "),Raw_Data!D18)</f>
        <v>North Region</v>
      </c>
      <c r="E18" s="3" t="str">
        <f ca="1">IFERROR(textbefore(Raw_Data!E18," / "),Raw_Data!E18)</f>
        <v>Android;iPhone</v>
      </c>
      <c r="F18" s="3" t="str">
        <f ca="1">IFERROR(textbefore(Raw_Data!F18," / "),Raw_Data!F18)</f>
        <v>25 and above</v>
      </c>
      <c r="G18" s="3" t="str">
        <f ca="1">IFERROR(textbefore(textbefore(Raw_Data!G18,";")," / "),IFERROR(textbefore(Raw_Data!G18," / "),Raw_Data!G18))</f>
        <v>Very often / TrÃ¨s souvent</v>
      </c>
      <c r="H18" s="3" t="str">
        <f ca="1">IFERROR(textbefore(Raw_Data!H18," / "),Raw_Data!H18)</f>
        <v>Social media / RÃ©seaux sociaux;Messaging / Messagerie (WhatsApp, etc.);Online classes/work / Cours ou travail en ligne;Browsing / Navigation</v>
      </c>
      <c r="I18" s="3" t="str">
        <f ca="1">IFERROR(textbefore(Raw_Data!I18," / "),Raw_Data!I18)</f>
        <v>Poor / Mauvaise</v>
      </c>
      <c r="J18" s="3">
        <f>Raw_Data!J18</f>
        <v>2</v>
      </c>
      <c r="K18" s="3" t="str">
        <f ca="1">IFERROR(textbefore(Raw_Data!K18," / "),Raw_Data!K18)</f>
        <v>Poor / Instable</v>
      </c>
      <c r="L18" s="3" t="str">
        <f ca="1">IFERROR(textbefore(Raw_Data!L18," / "),Raw_Data!L18)</f>
        <v>Often / Souvent</v>
      </c>
      <c r="M18" s="3" t="str">
        <f ca="1">IFERROR(textbefore(Raw_Data!M18," / "),Raw_Data!M18)</f>
        <v>Slow internet / Internet lent;Call drops / Coupures d'appel;Poor call quality / Mauvaise qualitÃ© dâ€™appel;Network outages / Pannes rÃ©seau</v>
      </c>
      <c r="N18" s="3" t="str">
        <f ca="1">IFERROR(textbefore(Raw_Data!N18," / "),Raw_Data!N18)</f>
        <v>Very often / TrÃ¨s souvent</v>
      </c>
      <c r="O18" s="3" t="str">
        <f ca="1">IFERROR(textbefore(Raw_Data!O18," / "),Raw_Data!O18)</f>
        <v>Afternoon / AprÃ¨s-midi</v>
      </c>
      <c r="P18" s="3" t="str">
        <f ca="1">IFERROR(textbefore(Raw_Data!P18," / "),Raw_Data!P18)</f>
        <v>Everywhere / Partout</v>
      </c>
      <c r="Q18" s="3" t="str">
        <f ca="1">IFERROR(textbefore(Raw_Data!Q18," / "),Raw_Data!Q18)</f>
        <v>Weak / Faible</v>
      </c>
      <c r="R18" s="3" t="str">
        <f ca="1">IFERROR(textbefore(Raw_Data!R18," / "),Raw_Data!R18)</f>
        <v>Severely / Beaucoup</v>
      </c>
      <c r="S18" s="3" t="str">
        <f ca="1">IFERROR(textbefore(Raw_Data!S18," / "),Raw_Data!S18)</f>
        <v>Yes / Oui</v>
      </c>
      <c r="T18" s="3" t="str">
        <f ca="1">IFERROR(textbefore(Raw_Data!T18," / "),Raw_Data!T18)</f>
        <v>No / Non</v>
      </c>
      <c r="U18" s="3" t="str">
        <f ca="1">IFERROR(textbefore(Raw_Data!U18," / "),Raw_Data!U18)</f>
        <v>Never / Jamais</v>
      </c>
      <c r="V18" s="3" t="str">
        <f ca="1">IFERROR(textbefore(Raw_Data!V18," / "),Raw_Data!V18)</f>
        <v>No / Non</v>
      </c>
      <c r="W18" s="3" t="str">
        <f ca="1">IFERROR(textbefore(Raw_Data!W18," / "),Raw_Data!W18)</f>
        <v>Privacy / ConfidentialitÃ©;Battery usage / Batterie;Data usage / Consommation de donnÃ©es;Security / SÃ©curitÃ©</v>
      </c>
    </row>
    <row r="19" spans="1:23" ht="24.75" customHeight="1" x14ac:dyDescent="0.35">
      <c r="A19" s="3" t="str">
        <f>Raw_Data!A19</f>
        <v>2026/04/24 6:09:53 AM GMT+1</v>
      </c>
      <c r="B19" s="3" t="str">
        <f>Raw_Data!B19</f>
        <v>blessingntenkia@gmail.com</v>
      </c>
      <c r="C19" s="3" t="str">
        <f ca="1">IFERROR(textbefore(Raw_Data!C19," / "),Raw_Data!C19)</f>
        <v>MTN</v>
      </c>
      <c r="D19" s="3" t="str">
        <f ca="1">IFERROR(textbefore(Raw_Data!D19," / "),Raw_Data!D19)</f>
        <v>West Region</v>
      </c>
      <c r="E19" s="3" t="str">
        <f ca="1">IFERROR(textbefore(Raw_Data!E19," / "),Raw_Data!E19)</f>
        <v>Android</v>
      </c>
      <c r="F19" s="3" t="str">
        <f ca="1">IFERROR(textbefore(Raw_Data!F19," / "),Raw_Data!F19)</f>
        <v>20-25</v>
      </c>
      <c r="G19" s="3" t="str">
        <f ca="1">IFERROR(textbefore(textbefore(Raw_Data!G19,";")," / "),IFERROR(textbefore(Raw_Data!G19," / "),Raw_Data!G19))</f>
        <v>Very often / TrÃ¨s souvent;Often / Souvent</v>
      </c>
      <c r="H19" s="3" t="str">
        <f ca="1">IFERROR(textbefore(Raw_Data!H19," / "),Raw_Data!H19)</f>
        <v>Social media / RÃ©seaux sociaux;Messaging / Messagerie (WhatsApp, etc.);Online classes/work / Cours ou travail en ligne</v>
      </c>
      <c r="I19" s="3" t="str">
        <f ca="1">IFERROR(textbefore(Raw_Data!I19," / "),Raw_Data!I19)</f>
        <v>Average / Moyenne</v>
      </c>
      <c r="J19" s="3">
        <f>Raw_Data!J19</f>
        <v>3</v>
      </c>
      <c r="K19" s="3" t="str">
        <f ca="1">IFERROR(textbefore(Raw_Data!K19," / "),Raw_Data!K19)</f>
        <v>Average / Moyenne</v>
      </c>
      <c r="L19" s="3" t="str">
        <f ca="1">IFERROR(textbefore(Raw_Data!L19," / "),Raw_Data!L19)</f>
        <v>Sometimes / Parfois</v>
      </c>
      <c r="M19" s="3" t="str">
        <f ca="1">IFERROR(textbefore(Raw_Data!M19," / "),Raw_Data!M19)</f>
        <v>Slow internet / Internet lent</v>
      </c>
      <c r="N19" s="3" t="str">
        <f ca="1">IFERROR(textbefore(Raw_Data!N19," / "),Raw_Data!N19)</f>
        <v>Sometimes / Parfois</v>
      </c>
      <c r="O19" s="3" t="str">
        <f ca="1">IFERROR(textbefore(Raw_Data!O19," / "),Raw_Data!O19)</f>
        <v>Afternoon / AprÃ¨s-midi</v>
      </c>
      <c r="P19" s="3" t="str">
        <f ca="1">IFERROR(textbefore(Raw_Data!P19," / "),Raw_Data!P19)</f>
        <v>Everywhere / Partout</v>
      </c>
      <c r="Q19" s="3" t="str">
        <f ca="1">IFERROR(textbefore(Raw_Data!Q19," / "),Raw_Data!Q19)</f>
        <v>Moderate / Moyen</v>
      </c>
      <c r="R19" s="3" t="str">
        <f ca="1">IFERROR(textbefore(Raw_Data!R19," / "),Raw_Data!R19)</f>
        <v>Slightly / Un peu</v>
      </c>
      <c r="S19" s="3" t="str">
        <f ca="1">IFERROR(textbefore(Raw_Data!S19," / "),Raw_Data!S19)</f>
        <v>Yes / Oui</v>
      </c>
      <c r="T19" s="3" t="str">
        <f ca="1">IFERROR(textbefore(Raw_Data!T19," / "),Raw_Data!T19)</f>
        <v>No / Non</v>
      </c>
      <c r="U19" s="3" t="str">
        <f ca="1">IFERROR(textbefore(Raw_Data!U19," / "),Raw_Data!U19)</f>
        <v>Only when there is a problem / Seulement en cas de problÃ¨me</v>
      </c>
      <c r="V19" s="3" t="str">
        <f ca="1">IFERROR(textbefore(Raw_Data!V19," / "),Raw_Data!V19)</f>
        <v>No / Non</v>
      </c>
      <c r="W19" s="3" t="str">
        <f ca="1">IFERROR(textbefore(Raw_Data!W19," / "),Raw_Data!W19)</f>
        <v>Privacy / ConfidentialitÃ©</v>
      </c>
    </row>
    <row r="20" spans="1:23" ht="24.75" customHeight="1" x14ac:dyDescent="0.35">
      <c r="A20" s="3" t="str">
        <f>Raw_Data!A20</f>
        <v>2026/04/24 6:36:55 AM GMT+1</v>
      </c>
      <c r="B20" s="3">
        <f>Raw_Data!B20</f>
        <v>0</v>
      </c>
      <c r="C20" s="3" t="str">
        <f ca="1">IFERROR(textbefore(Raw_Data!C20," / "),Raw_Data!C20)</f>
        <v>Orange</v>
      </c>
      <c r="D20" s="3" t="str">
        <f ca="1">IFERROR(textbefore(Raw_Data!D20," / "),Raw_Data!D20)</f>
        <v>Southwest Region</v>
      </c>
      <c r="E20" s="3" t="str">
        <f ca="1">IFERROR(textbefore(Raw_Data!E20," / "),Raw_Data!E20)</f>
        <v>Android</v>
      </c>
      <c r="F20" s="3" t="str">
        <f ca="1">IFERROR(textbefore(Raw_Data!F20," / "),Raw_Data!F20)</f>
        <v>20-25</v>
      </c>
      <c r="G20" s="3" t="str">
        <f ca="1">IFERROR(textbefore(textbefore(Raw_Data!G20,";")," / "),IFERROR(textbefore(Raw_Data!G20," / "),Raw_Data!G20))</f>
        <v>Very often / TrÃ¨s souvent</v>
      </c>
      <c r="H20" s="3" t="str">
        <f ca="1">IFERROR(textbefore(Raw_Data!H20," / "),Raw_Data!H20)</f>
        <v>Social media / RÃ©seaux sociaux</v>
      </c>
      <c r="I20" s="3" t="str">
        <f ca="1">IFERROR(textbefore(Raw_Data!I20," / "),Raw_Data!I20)</f>
        <v>Average / Moyenne</v>
      </c>
      <c r="J20" s="3">
        <f>Raw_Data!J20</f>
        <v>3</v>
      </c>
      <c r="K20" s="3" t="str">
        <f ca="1">IFERROR(textbefore(Raw_Data!K20," / "),Raw_Data!K20)</f>
        <v>Average / Moyenne</v>
      </c>
      <c r="L20" s="3" t="str">
        <f ca="1">IFERROR(textbefore(Raw_Data!L20," / "),Raw_Data!L20)</f>
        <v>Often / Souvent</v>
      </c>
      <c r="M20" s="3" t="str">
        <f ca="1">IFERROR(textbefore(Raw_Data!M20," / "),Raw_Data!M20)</f>
        <v>Poor call quality / Mauvaise qualitÃ© dâ€™appel</v>
      </c>
      <c r="N20" s="3" t="str">
        <f ca="1">IFERROR(textbefore(Raw_Data!N20," / "),Raw_Data!N20)</f>
        <v>Very often / TrÃ¨s souvent</v>
      </c>
      <c r="O20" s="3" t="str">
        <f ca="1">IFERROR(textbefore(Raw_Data!O20," / "),Raw_Data!O20)</f>
        <v>Evening / Soir</v>
      </c>
      <c r="P20" s="3" t="str">
        <f ca="1">IFERROR(textbefore(Raw_Data!P20," / "),Raw_Data!P20)</f>
        <v>Everywhere / Partout</v>
      </c>
      <c r="Q20" s="3" t="str">
        <f ca="1">IFERROR(textbefore(Raw_Data!Q20," / "),Raw_Data!Q20)</f>
        <v>Moderate / Moyen</v>
      </c>
      <c r="R20" s="3" t="str">
        <f ca="1">IFERROR(textbefore(Raw_Data!R20," / "),Raw_Data!R20)</f>
        <v>Severely / Beaucoup</v>
      </c>
      <c r="S20" s="3" t="str">
        <f ca="1">IFERROR(textbefore(Raw_Data!S20," / "),Raw_Data!S20)</f>
        <v>Yes / Oui</v>
      </c>
      <c r="T20" s="3" t="str">
        <f ca="1">IFERROR(textbefore(Raw_Data!T20," / "),Raw_Data!T20)</f>
        <v>Yes / Oui</v>
      </c>
      <c r="U20" s="3" t="str">
        <f ca="1">IFERROR(textbefore(Raw_Data!U20," / "),Raw_Data!U20)</f>
        <v>Only when there is a problem / Seulement en cas de problÃ¨me</v>
      </c>
      <c r="V20" s="3" t="str">
        <f ca="1">IFERROR(textbefore(Raw_Data!V20," / "),Raw_Data!V20)</f>
        <v>No / Non</v>
      </c>
      <c r="W20" s="3" t="str">
        <f ca="1">IFERROR(textbefore(Raw_Data!W20," / "),Raw_Data!W20)</f>
        <v>Security / SÃ©curitÃ©</v>
      </c>
    </row>
    <row r="21" spans="1:23" ht="24.75" customHeight="1" x14ac:dyDescent="0.35">
      <c r="A21" s="3" t="str">
        <f>Raw_Data!A21</f>
        <v>2026/04/24 6:40:40 AM GMT+1</v>
      </c>
      <c r="B21" s="3">
        <f>Raw_Data!B21</f>
        <v>0</v>
      </c>
      <c r="C21" s="3" t="str">
        <f ca="1">IFERROR(textbefore(Raw_Data!C21," / "),Raw_Data!C21)</f>
        <v>MTN;Camtel</v>
      </c>
      <c r="D21" s="3" t="str">
        <f ca="1">IFERROR(textbefore(Raw_Data!D21," / "),Raw_Data!D21)</f>
        <v>Southwest Region</v>
      </c>
      <c r="E21" s="3" t="str">
        <f ca="1">IFERROR(textbefore(Raw_Data!E21," / "),Raw_Data!E21)</f>
        <v>Android</v>
      </c>
      <c r="F21" s="3" t="str">
        <f ca="1">IFERROR(textbefore(Raw_Data!F21," / "),Raw_Data!F21)</f>
        <v>20-25</v>
      </c>
      <c r="G21" s="3" t="str">
        <f ca="1">IFERROR(textbefore(textbefore(Raw_Data!G21,";")," / "),IFERROR(textbefore(Raw_Data!G21," / "),Raw_Data!G21))</f>
        <v>Very often / TrÃ¨s souvent</v>
      </c>
      <c r="H21" s="3" t="str">
        <f ca="1">IFERROR(textbefore(Raw_Data!H21," / "),Raw_Data!H21)</f>
        <v>Browsing / Navigation</v>
      </c>
      <c r="I21" s="3" t="str">
        <f ca="1">IFERROR(textbefore(Raw_Data!I21," / "),Raw_Data!I21)</f>
        <v>Very Poor / TrÃ¨s mauvaise</v>
      </c>
      <c r="J21" s="3">
        <f>Raw_Data!J21</f>
        <v>2</v>
      </c>
      <c r="K21" s="3" t="str">
        <f ca="1">IFERROR(textbefore(Raw_Data!K21," / "),Raw_Data!K21)</f>
        <v>Poor / Instable</v>
      </c>
      <c r="L21" s="3" t="str">
        <f ca="1">IFERROR(textbefore(Raw_Data!L21," / "),Raw_Data!L21)</f>
        <v>Often / Souvent</v>
      </c>
      <c r="M21" s="3" t="str">
        <f ca="1">IFERROR(textbefore(Raw_Data!M21," / "),Raw_Data!M21)</f>
        <v>No signal / Pas de rÃ©seau</v>
      </c>
      <c r="N21" s="3" t="str">
        <f ca="1">IFERROR(textbefore(Raw_Data!N21," / "),Raw_Data!N21)</f>
        <v>Often / Souvent</v>
      </c>
      <c r="O21" s="3" t="str">
        <f ca="1">IFERROR(textbefore(Raw_Data!O21," / "),Raw_Data!O21)</f>
        <v>Evening / Soir</v>
      </c>
      <c r="P21" s="3" t="str">
        <f ca="1">IFERROR(textbefore(Raw_Data!P21," / "),Raw_Data!P21)</f>
        <v>School/Work / Ã‰cole/Travail</v>
      </c>
      <c r="Q21" s="3" t="str">
        <f ca="1">IFERROR(textbefore(Raw_Data!Q21," / "),Raw_Data!Q21)</f>
        <v>Weak / Faible</v>
      </c>
      <c r="R21" s="3" t="str">
        <f ca="1">IFERROR(textbefore(Raw_Data!R21," / "),Raw_Data!R21)</f>
        <v>Slightly / Un peu</v>
      </c>
      <c r="S21" s="3" t="str">
        <f ca="1">IFERROR(textbefore(Raw_Data!S21," / "),Raw_Data!S21)</f>
        <v>Yes / Oui</v>
      </c>
      <c r="T21" s="3" t="str">
        <f ca="1">IFERROR(textbefore(Raw_Data!T21," / "),Raw_Data!T21)</f>
        <v>Yes / Oui</v>
      </c>
      <c r="U21" s="3" t="str">
        <f ca="1">IFERROR(textbefore(Raw_Data!U21," / "),Raw_Data!U21)</f>
        <v>Once a day / Une fois par jour</v>
      </c>
      <c r="V21" s="3" t="str">
        <f ca="1">IFERROR(textbefore(Raw_Data!V21," / "),Raw_Data!V21)</f>
        <v>No / Non</v>
      </c>
      <c r="W21" s="3" t="str">
        <f ca="1">IFERROR(textbefore(Raw_Data!W21," / "),Raw_Data!W21)</f>
        <v>Privacy / ConfidentialitÃ©;Data usage / Consommation de donnÃ©es;Security / SÃ©curitÃ©</v>
      </c>
    </row>
    <row r="22" spans="1:23" ht="24.75" customHeight="1" x14ac:dyDescent="0.35">
      <c r="A22" s="3" t="str">
        <f>Raw_Data!A22</f>
        <v>2026/04/24 6:45:11 AM GMT+1</v>
      </c>
      <c r="B22" s="3">
        <f>Raw_Data!B22</f>
        <v>0</v>
      </c>
      <c r="C22" s="3" t="str">
        <f ca="1">IFERROR(textbefore(Raw_Data!C22," / "),Raw_Data!C22)</f>
        <v>MTN</v>
      </c>
      <c r="D22" s="3" t="str">
        <f ca="1">IFERROR(textbefore(Raw_Data!D22," / "),Raw_Data!D22)</f>
        <v>South Region</v>
      </c>
      <c r="E22" s="3" t="str">
        <f ca="1">IFERROR(textbefore(Raw_Data!E22," / "),Raw_Data!E22)</f>
        <v>Android</v>
      </c>
      <c r="F22" s="3" t="str">
        <f ca="1">IFERROR(textbefore(Raw_Data!F22," / "),Raw_Data!F22)</f>
        <v>15-20</v>
      </c>
      <c r="G22" s="3" t="str">
        <f ca="1">IFERROR(textbefore(textbefore(Raw_Data!G22,";")," / "),IFERROR(textbefore(Raw_Data!G22," / "),Raw_Data!G22))</f>
        <v>Very often / TrÃ¨s souvent</v>
      </c>
      <c r="H22" s="3" t="str">
        <f ca="1">IFERROR(textbefore(Raw_Data!H22," / "),Raw_Data!H22)</f>
        <v>Video streaming / VidÃ©o (YouTube, Netflix);Messaging / Messagerie (WhatsApp, etc.);Browsing / Navigation</v>
      </c>
      <c r="I22" s="3" t="str">
        <f ca="1">IFERROR(textbefore(Raw_Data!I22," / "),Raw_Data!I22)</f>
        <v>Poor / Mauvaise</v>
      </c>
      <c r="J22" s="3">
        <f>Raw_Data!J22</f>
        <v>2</v>
      </c>
      <c r="K22" s="3" t="str">
        <f ca="1">IFERROR(textbefore(Raw_Data!K22," / "),Raw_Data!K22)</f>
        <v>Poor / Instable;Average / Moyenne</v>
      </c>
      <c r="L22" s="3" t="str">
        <f ca="1">IFERROR(textbefore(Raw_Data!L22," / "),Raw_Data!L22)</f>
        <v>Sometimes / Parfois</v>
      </c>
      <c r="M22" s="3" t="str">
        <f ca="1">IFERROR(textbefore(Raw_Data!M22," / "),Raw_Data!M22)</f>
        <v>Slow internet / Internet lent;Call drops / Coupures d'appel;Poor call quality / Mauvaise qualitÃ© dâ€™appel</v>
      </c>
      <c r="N22" s="3" t="str">
        <f ca="1">IFERROR(textbefore(Raw_Data!N22," / "),Raw_Data!N22)</f>
        <v>Very often / TrÃ¨s souvent</v>
      </c>
      <c r="O22" s="3" t="str">
        <f ca="1">IFERROR(textbefore(Raw_Data!O22," / "),Raw_Data!O22)</f>
        <v>Afternoon / AprÃ¨s-midi</v>
      </c>
      <c r="P22" s="3" t="str">
        <f ca="1">IFERROR(textbefore(Raw_Data!P22," / "),Raw_Data!P22)</f>
        <v>School/Work / Ã‰cole/Travail</v>
      </c>
      <c r="Q22" s="3" t="str">
        <f ca="1">IFERROR(textbefore(Raw_Data!Q22," / "),Raw_Data!Q22)</f>
        <v>Moderate / Moyen</v>
      </c>
      <c r="R22" s="3" t="str">
        <f ca="1">IFERROR(textbefore(Raw_Data!R22," / "),Raw_Data!R22)</f>
        <v>Slightly / Un peu</v>
      </c>
      <c r="S22" s="3" t="str">
        <f ca="1">IFERROR(textbefore(Raw_Data!S22," / "),Raw_Data!S22)</f>
        <v>Yes / Oui</v>
      </c>
      <c r="T22" s="3" t="str">
        <f ca="1">IFERROR(textbefore(Raw_Data!T22," / "),Raw_Data!T22)</f>
        <v>Yes / Oui</v>
      </c>
      <c r="U22" s="3" t="str">
        <f ca="1">IFERROR(textbefore(Raw_Data!U22," / "),Raw_Data!U22)</f>
        <v>Only when there is a problem / Seulement en cas de problÃ¨me</v>
      </c>
      <c r="V22" s="3" t="str">
        <f ca="1">IFERROR(textbefore(Raw_Data!V22," / "),Raw_Data!V22)</f>
        <v>Yes / Oui</v>
      </c>
      <c r="W22" s="3" t="str">
        <f ca="1">IFERROR(textbefore(Raw_Data!W22," / "),Raw_Data!W22)</f>
        <v>Privacy / ConfidentialitÃ©</v>
      </c>
    </row>
    <row r="23" spans="1:23" ht="24.75" customHeight="1" x14ac:dyDescent="0.35">
      <c r="A23" s="3" t="str">
        <f>Raw_Data!A23</f>
        <v>2026/04/24 6:59:02 AM GMT+1</v>
      </c>
      <c r="B23" s="3">
        <f>Raw_Data!B23</f>
        <v>0</v>
      </c>
      <c r="C23" s="3" t="str">
        <f ca="1">IFERROR(textbefore(Raw_Data!C23," / "),Raw_Data!C23)</f>
        <v>MTN</v>
      </c>
      <c r="D23" s="3" t="str">
        <f ca="1">IFERROR(textbefore(Raw_Data!D23," / "),Raw_Data!D23)</f>
        <v>North West Region</v>
      </c>
      <c r="E23" s="3" t="str">
        <f ca="1">IFERROR(textbefore(Raw_Data!E23," / "),Raw_Data!E23)</f>
        <v>Android</v>
      </c>
      <c r="F23" s="3" t="str">
        <f ca="1">IFERROR(textbefore(Raw_Data!F23," / "),Raw_Data!F23)</f>
        <v>20-25</v>
      </c>
      <c r="G23" s="3" t="str">
        <f ca="1">IFERROR(textbefore(textbefore(Raw_Data!G23,";")," / "),IFERROR(textbefore(Raw_Data!G23," / "),Raw_Data!G23))</f>
        <v>Very often / TrÃ¨s souvent</v>
      </c>
      <c r="H23" s="3" t="str">
        <f ca="1">IFERROR(textbefore(Raw_Data!H23," / "),Raw_Data!H23)</f>
        <v>Social media / RÃ©seaux sociaux;Video streaming / VidÃ©o (YouTube, Netflix);Messaging / Messagerie (WhatsApp, etc.);Online classes/work / Cours ou travail en ligne;Browsing / Navigation</v>
      </c>
      <c r="I23" s="3" t="str">
        <f ca="1">IFERROR(textbefore(Raw_Data!I23," / "),Raw_Data!I23)</f>
        <v>Poor / Mauvaise</v>
      </c>
      <c r="J23" s="3">
        <f>Raw_Data!J23</f>
        <v>2</v>
      </c>
      <c r="K23" s="3" t="str">
        <f ca="1">IFERROR(textbefore(Raw_Data!K23," / "),Raw_Data!K23)</f>
        <v>Poor / Instable</v>
      </c>
      <c r="L23" s="3" t="str">
        <f ca="1">IFERROR(textbefore(Raw_Data!L23," / "),Raw_Data!L23)</f>
        <v>Often / Souvent</v>
      </c>
      <c r="M23" s="3" t="str">
        <f ca="1">IFERROR(textbefore(Raw_Data!M23," / "),Raw_Data!M23)</f>
        <v>Slow internet / Internet lent</v>
      </c>
      <c r="N23" s="3" t="str">
        <f ca="1">IFERROR(textbefore(Raw_Data!N23," / "),Raw_Data!N23)</f>
        <v>Often / Souvent</v>
      </c>
      <c r="O23" s="3" t="str">
        <f ca="1">IFERROR(textbefore(Raw_Data!O23," / "),Raw_Data!O23)</f>
        <v>Afternoon / AprÃ¨s-midi</v>
      </c>
      <c r="P23" s="3" t="str">
        <f ca="1">IFERROR(textbefore(Raw_Data!P23," / "),Raw_Data!P23)</f>
        <v>Everywhere / Partout</v>
      </c>
      <c r="Q23" s="3" t="str">
        <f ca="1">IFERROR(textbefore(Raw_Data!Q23," / "),Raw_Data!Q23)</f>
        <v>Moderate / Moyen</v>
      </c>
      <c r="R23" s="3" t="str">
        <f ca="1">IFERROR(textbefore(Raw_Data!R23," / "),Raw_Data!R23)</f>
        <v>Severely / Beaucoup</v>
      </c>
      <c r="S23" s="3" t="str">
        <f ca="1">IFERROR(textbefore(Raw_Data!S23," / "),Raw_Data!S23)</f>
        <v>Yes / Oui</v>
      </c>
      <c r="T23" s="3" t="str">
        <f ca="1">IFERROR(textbefore(Raw_Data!T23," / "),Raw_Data!T23)</f>
        <v>Yes / Oui</v>
      </c>
      <c r="U23" s="3" t="str">
        <f ca="1">IFERROR(textbefore(Raw_Data!U23," / "),Raw_Data!U23)</f>
        <v>Only when there is a problem / Seulement en cas de problÃ¨me</v>
      </c>
      <c r="V23" s="3" t="str">
        <f ca="1">IFERROR(textbefore(Raw_Data!V23," / "),Raw_Data!V23)</f>
        <v>Yes / Oui</v>
      </c>
      <c r="W23" s="3" t="str">
        <f ca="1">IFERROR(textbefore(Raw_Data!W23," / "),Raw_Data!W23)</f>
        <v>Privacy / ConfidentialitÃ©;Security / SÃ©curitÃ©</v>
      </c>
    </row>
    <row r="24" spans="1:23" ht="24.75" customHeight="1" x14ac:dyDescent="0.35">
      <c r="A24" s="3" t="str">
        <f>Raw_Data!A24</f>
        <v>2026/04/24 7:31:31 AM GMT+1</v>
      </c>
      <c r="B24" s="3">
        <f>Raw_Data!B24</f>
        <v>0</v>
      </c>
      <c r="C24" s="3" t="str">
        <f ca="1">IFERROR(textbefore(Raw_Data!C24," / "),Raw_Data!C24)</f>
        <v>MTN</v>
      </c>
      <c r="D24" s="3" t="str">
        <f ca="1">IFERROR(textbefore(Raw_Data!D24," / "),Raw_Data!D24)</f>
        <v>North West Region</v>
      </c>
      <c r="E24" s="3" t="str">
        <f ca="1">IFERROR(textbefore(Raw_Data!E24," / "),Raw_Data!E24)</f>
        <v>Android</v>
      </c>
      <c r="F24" s="3" t="str">
        <f ca="1">IFERROR(textbefore(Raw_Data!F24," / "),Raw_Data!F24)</f>
        <v>20-25</v>
      </c>
      <c r="G24" s="3" t="str">
        <f ca="1">IFERROR(textbefore(textbefore(Raw_Data!G24,";")," / "),IFERROR(textbefore(Raw_Data!G24," / "),Raw_Data!G24))</f>
        <v>Very often / TrÃ¨s souvent</v>
      </c>
      <c r="H24" s="3" t="str">
        <f ca="1">IFERROR(textbefore(Raw_Data!H24," / "),Raw_Data!H24)</f>
        <v>Browsing / Navigation</v>
      </c>
      <c r="I24" s="3" t="str">
        <f ca="1">IFERROR(textbefore(Raw_Data!I24," / "),Raw_Data!I24)</f>
        <v>Average / Moyenne</v>
      </c>
      <c r="J24" s="3">
        <f>Raw_Data!J24</f>
        <v>4</v>
      </c>
      <c r="K24" s="3" t="str">
        <f ca="1">IFERROR(textbefore(Raw_Data!K24," / "),Raw_Data!K24)</f>
        <v>Average / Moyenne</v>
      </c>
      <c r="L24" s="3" t="str">
        <f ca="1">IFERROR(textbefore(Raw_Data!L24," / "),Raw_Data!L24)</f>
        <v>Often / Souvent</v>
      </c>
      <c r="M24" s="3" t="str">
        <f ca="1">IFERROR(textbefore(Raw_Data!M24," / "),Raw_Data!M24)</f>
        <v>Slow internet / Internet lent</v>
      </c>
      <c r="N24" s="3" t="str">
        <f ca="1">IFERROR(textbefore(Raw_Data!N24," / "),Raw_Data!N24)</f>
        <v>Often / Souvent</v>
      </c>
      <c r="O24" s="3" t="str">
        <f ca="1">IFERROR(textbefore(Raw_Data!O24," / "),Raw_Data!O24)</f>
        <v>Evening / Soir</v>
      </c>
      <c r="P24" s="3" t="str">
        <f ca="1">IFERROR(textbefore(Raw_Data!P24," / "),Raw_Data!P24)</f>
        <v>School/Work / Ã‰cole/Travail</v>
      </c>
      <c r="Q24" s="3" t="str">
        <f ca="1">IFERROR(textbefore(Raw_Data!Q24," / "),Raw_Data!Q24)</f>
        <v>Moderate / Moyen</v>
      </c>
      <c r="R24" s="3" t="str">
        <f ca="1">IFERROR(textbefore(Raw_Data!R24," / "),Raw_Data!R24)</f>
        <v>Moderately / Moyennement</v>
      </c>
      <c r="S24" s="3" t="str">
        <f ca="1">IFERROR(textbefore(Raw_Data!S24," / "),Raw_Data!S24)</f>
        <v>Yes / Oui</v>
      </c>
      <c r="T24" s="3" t="str">
        <f ca="1">IFERROR(textbefore(Raw_Data!T24," / "),Raw_Data!T24)</f>
        <v>Yes / Oui</v>
      </c>
      <c r="U24" s="3" t="str">
        <f ca="1">IFERROR(textbefore(Raw_Data!U24," / "),Raw_Data!U24)</f>
        <v>Only when there is a problem / Seulement en cas de problÃ¨me</v>
      </c>
      <c r="V24" s="3" t="str">
        <f ca="1">IFERROR(textbefore(Raw_Data!V24," / "),Raw_Data!V24)</f>
        <v>Yes / Oui</v>
      </c>
      <c r="W24" s="3" t="str">
        <f ca="1">IFERROR(textbefore(Raw_Data!W24," / "),Raw_Data!W24)</f>
        <v>Privacy / ConfidentialitÃ©;Battery usage / Batterie;Data usage / Consommation de donnÃ©es;Security / SÃ©curitÃ©</v>
      </c>
    </row>
    <row r="25" spans="1:23" ht="24.75" customHeight="1" x14ac:dyDescent="0.35">
      <c r="A25" s="3" t="str">
        <f>Raw_Data!A25</f>
        <v>2026/04/24 8:02:52 AM GMT+1</v>
      </c>
      <c r="B25" s="3">
        <f>Raw_Data!B25</f>
        <v>0</v>
      </c>
      <c r="C25" s="3" t="str">
        <f ca="1">IFERROR(textbefore(Raw_Data!C25," / "),Raw_Data!C25)</f>
        <v>MTN;Orange</v>
      </c>
      <c r="D25" s="3" t="str">
        <f ca="1">IFERROR(textbefore(Raw_Data!D25," / "),Raw_Data!D25)</f>
        <v>Southwest Region</v>
      </c>
      <c r="E25" s="3" t="str">
        <f ca="1">IFERROR(textbefore(Raw_Data!E25," / "),Raw_Data!E25)</f>
        <v>Android</v>
      </c>
      <c r="F25" s="3" t="str">
        <f ca="1">IFERROR(textbefore(Raw_Data!F25," / "),Raw_Data!F25)</f>
        <v>20-25</v>
      </c>
      <c r="G25" s="3" t="str">
        <f ca="1">IFERROR(textbefore(textbefore(Raw_Data!G25,";")," / "),IFERROR(textbefore(Raw_Data!G25," / "),Raw_Data!G25))</f>
        <v>Very often / TrÃ¨s souvent</v>
      </c>
      <c r="H25" s="3" t="str">
        <f ca="1">IFERROR(textbefore(Raw_Data!H25," / "),Raw_Data!H25)</f>
        <v>Social media / RÃ©seaux sociaux;Video streaming / VidÃ©o (YouTube, Netflix);Messaging / Messagerie (WhatsApp, etc.);Online classes/work / Cours ou travail en ligne;Gaming / Jeux;Browsing / Navigation</v>
      </c>
      <c r="I25" s="3" t="str">
        <f ca="1">IFERROR(textbefore(Raw_Data!I25," / "),Raw_Data!I25)</f>
        <v>Very Poor / TrÃ¨s mauvaise</v>
      </c>
      <c r="J25" s="3">
        <f>Raw_Data!J25</f>
        <v>2</v>
      </c>
      <c r="K25" s="3" t="str">
        <f ca="1">IFERROR(textbefore(Raw_Data!K25," / "),Raw_Data!K25)</f>
        <v>Very Poor / TrÃ¨s instable</v>
      </c>
      <c r="L25" s="3" t="str">
        <f ca="1">IFERROR(textbefore(Raw_Data!L25," / "),Raw_Data!L25)</f>
        <v>Always / Toujours</v>
      </c>
      <c r="M25" s="3" t="str">
        <f ca="1">IFERROR(textbefore(Raw_Data!M25," / "),Raw_Data!M25)</f>
        <v>Slow internet / Internet lent;Call drops / Coupures d'appel;No signal / Pas de rÃ©seau;Poor call quality / Mauvaise qualitÃ© dâ€™appel;Network outages / Pannes rÃ©seau</v>
      </c>
      <c r="N25" s="3" t="str">
        <f ca="1">IFERROR(textbefore(Raw_Data!N25," / "),Raw_Data!N25)</f>
        <v>Very often / TrÃ¨s souvent</v>
      </c>
      <c r="O25" s="3" t="str">
        <f ca="1">IFERROR(textbefore(Raw_Data!O25," / "),Raw_Data!O25)</f>
        <v>Night / Nuit</v>
      </c>
      <c r="P25" s="3" t="str">
        <f ca="1">IFERROR(textbefore(Raw_Data!P25," / "),Raw_Data!P25)</f>
        <v>Everywhere / Partout</v>
      </c>
      <c r="Q25" s="3" t="str">
        <f ca="1">IFERROR(textbefore(Raw_Data!Q25," / "),Raw_Data!Q25)</f>
        <v>Very Weak / TrÃ¨s faible</v>
      </c>
      <c r="R25" s="3" t="str">
        <f ca="1">IFERROR(textbefore(Raw_Data!R25," / "),Raw_Data!R25)</f>
        <v>Severely / Beaucoup</v>
      </c>
      <c r="S25" s="3" t="str">
        <f ca="1">IFERROR(textbefore(Raw_Data!S25," / "),Raw_Data!S25)</f>
        <v>Yes / Oui</v>
      </c>
      <c r="T25" s="3" t="str">
        <f ca="1">IFERROR(textbefore(Raw_Data!T25," / "),Raw_Data!T25)</f>
        <v>Yes / Oui</v>
      </c>
      <c r="U25" s="3" t="str">
        <f ca="1">IFERROR(textbefore(Raw_Data!U25," / "),Raw_Data!U25)</f>
        <v>Once a day / Une fois par jour</v>
      </c>
      <c r="V25" s="3" t="str">
        <f ca="1">IFERROR(textbefore(Raw_Data!V25," / "),Raw_Data!V25)</f>
        <v>Yes / Oui</v>
      </c>
      <c r="W25" s="3" t="str">
        <f ca="1">IFERROR(textbefore(Raw_Data!W25," / "),Raw_Data!W25)</f>
        <v>Privacy / ConfidentialitÃ©;Battery usage / Batterie;Data usage / Consommation de donnÃ©es;Security / SÃ©curitÃ©</v>
      </c>
    </row>
    <row r="26" spans="1:23" ht="24.75" customHeight="1" x14ac:dyDescent="0.35">
      <c r="A26" s="3" t="str">
        <f>Raw_Data!A26</f>
        <v>2026/04/24 8:17:46 AM GMT+1</v>
      </c>
      <c r="B26" s="3" t="str">
        <f>Raw_Data!B26</f>
        <v>susantakor59@gmail.com</v>
      </c>
      <c r="C26" s="3" t="str">
        <f ca="1">IFERROR(textbefore(Raw_Data!C26," / "),Raw_Data!C26)</f>
        <v>MTN</v>
      </c>
      <c r="D26" s="3" t="str">
        <f ca="1">IFERROR(textbefore(Raw_Data!D26," / "),Raw_Data!D26)</f>
        <v>Southwest Region</v>
      </c>
      <c r="E26" s="3" t="str">
        <f ca="1">IFERROR(textbefore(Raw_Data!E26," / "),Raw_Data!E26)</f>
        <v>Android</v>
      </c>
      <c r="F26" s="3" t="str">
        <f ca="1">IFERROR(textbefore(Raw_Data!F26," / "),Raw_Data!F26)</f>
        <v>15-20</v>
      </c>
      <c r="G26" s="3" t="str">
        <f ca="1">IFERROR(textbefore(textbefore(Raw_Data!G26,";")," / "),IFERROR(textbefore(Raw_Data!G26," / "),Raw_Data!G26))</f>
        <v>Very often / TrÃ¨s souvent</v>
      </c>
      <c r="H26" s="3" t="str">
        <f ca="1">IFERROR(textbefore(Raw_Data!H26," / "),Raw_Data!H26)</f>
        <v>Social media / RÃ©seaux sociaux;Online classes/work / Cours ou travail en ligne</v>
      </c>
      <c r="I26" s="3" t="str">
        <f ca="1">IFERROR(textbefore(Raw_Data!I26," / "),Raw_Data!I26)</f>
        <v>Good / Bonne</v>
      </c>
      <c r="J26" s="3">
        <f>Raw_Data!J26</f>
        <v>3</v>
      </c>
      <c r="K26" s="3" t="str">
        <f ca="1">IFERROR(textbefore(Raw_Data!K26," / "),Raw_Data!K26)</f>
        <v>Good / Stable</v>
      </c>
      <c r="L26" s="3" t="str">
        <f ca="1">IFERROR(textbefore(Raw_Data!L26," / "),Raw_Data!L26)</f>
        <v>Often / Souvent</v>
      </c>
      <c r="M26" s="3" t="str">
        <f ca="1">IFERROR(textbefore(Raw_Data!M26," / "),Raw_Data!M26)</f>
        <v>Slow internet / Internet lent</v>
      </c>
      <c r="N26" s="3" t="str">
        <f ca="1">IFERROR(textbefore(Raw_Data!N26," / "),Raw_Data!N26)</f>
        <v>Often / Souvent</v>
      </c>
      <c r="O26" s="3" t="str">
        <f ca="1">IFERROR(textbefore(Raw_Data!O26," / "),Raw_Data!O26)</f>
        <v>Night / Nuit</v>
      </c>
      <c r="P26" s="3" t="str">
        <f ca="1">IFERROR(textbefore(Raw_Data!P26," / "),Raw_Data!P26)</f>
        <v>School/Work / Ã‰cole/Travail</v>
      </c>
      <c r="Q26" s="3" t="str">
        <f ca="1">IFERROR(textbefore(Raw_Data!Q26," / "),Raw_Data!Q26)</f>
        <v>Moderate / Moyen</v>
      </c>
      <c r="R26" s="3" t="str">
        <f ca="1">IFERROR(textbefore(Raw_Data!R26," / "),Raw_Data!R26)</f>
        <v>Moderately / Moyennement</v>
      </c>
      <c r="S26" s="3" t="str">
        <f ca="1">IFERROR(textbefore(Raw_Data!S26," / "),Raw_Data!S26)</f>
        <v>Yes / Oui</v>
      </c>
      <c r="T26" s="3" t="str">
        <f ca="1">IFERROR(textbefore(Raw_Data!T26," / "),Raw_Data!T26)</f>
        <v>Yes / Oui</v>
      </c>
      <c r="U26" s="3" t="str">
        <f ca="1">IFERROR(textbefore(Raw_Data!U26," / "),Raw_Data!U26)</f>
        <v>Once a day / Une fois par jour</v>
      </c>
      <c r="V26" s="3" t="str">
        <f ca="1">IFERROR(textbefore(Raw_Data!V26," / "),Raw_Data!V26)</f>
        <v>Yes / Oui</v>
      </c>
      <c r="W26" s="3" t="str">
        <f ca="1">IFERROR(textbefore(Raw_Data!W26," / "),Raw_Data!W26)</f>
        <v>Privacy / ConfidentialitÃ©;Battery usage / Batterie</v>
      </c>
    </row>
    <row r="27" spans="1:23" ht="24.75" customHeight="1" x14ac:dyDescent="0.35">
      <c r="A27" s="3" t="str">
        <f>Raw_Data!A27</f>
        <v>2026/04/24 8:18:49 AM GMT+1</v>
      </c>
      <c r="B27" s="3" t="str">
        <f>Raw_Data!B27</f>
        <v>rickytabe2@gmail.com</v>
      </c>
      <c r="C27" s="3" t="str">
        <f ca="1">IFERROR(textbefore(Raw_Data!C27," / "),Raw_Data!C27)</f>
        <v>MTN;Orange</v>
      </c>
      <c r="D27" s="3" t="str">
        <f ca="1">IFERROR(textbefore(Raw_Data!D27," / "),Raw_Data!D27)</f>
        <v>Southwest Region</v>
      </c>
      <c r="E27" s="3" t="str">
        <f ca="1">IFERROR(textbefore(Raw_Data!E27," / "),Raw_Data!E27)</f>
        <v>iPhone</v>
      </c>
      <c r="F27" s="3" t="str">
        <f ca="1">IFERROR(textbefore(Raw_Data!F27," / "),Raw_Data!F27)</f>
        <v>20-25</v>
      </c>
      <c r="G27" s="3" t="str">
        <f ca="1">IFERROR(textbefore(textbefore(Raw_Data!G27,";")," / "),IFERROR(textbefore(Raw_Data!G27," / "),Raw_Data!G27))</f>
        <v>Very often / TrÃ¨s souvent</v>
      </c>
      <c r="H27" s="3" t="str">
        <f ca="1">IFERROR(textbefore(Raw_Data!H27," / "),Raw_Data!H27)</f>
        <v xml:space="preserve">Developing / Developer </v>
      </c>
      <c r="I27" s="3" t="str">
        <f ca="1">IFERROR(textbefore(Raw_Data!I27," / "),Raw_Data!I27)</f>
        <v>Poor / Mauvaise</v>
      </c>
      <c r="J27" s="3">
        <f>Raw_Data!J27</f>
        <v>2</v>
      </c>
      <c r="K27" s="3" t="str">
        <f ca="1">IFERROR(textbefore(Raw_Data!K27," / "),Raw_Data!K27)</f>
        <v>Poor / Instable</v>
      </c>
      <c r="L27" s="3" t="str">
        <f ca="1">IFERROR(textbefore(Raw_Data!L27," / "),Raw_Data!L27)</f>
        <v>Often / Souvent</v>
      </c>
      <c r="M27" s="3" t="str">
        <f ca="1">IFERROR(textbefore(Raw_Data!M27," / "),Raw_Data!M27)</f>
        <v>Slow internet / Internet lent</v>
      </c>
      <c r="N27" s="3" t="str">
        <f ca="1">IFERROR(textbefore(Raw_Data!N27," / "),Raw_Data!N27)</f>
        <v>Very often / TrÃ¨s souvent</v>
      </c>
      <c r="O27" s="3" t="str">
        <f ca="1">IFERROR(textbefore(Raw_Data!O27," / "),Raw_Data!O27)</f>
        <v>Night / Nuit</v>
      </c>
      <c r="P27" s="3" t="str">
        <f ca="1">IFERROR(textbefore(Raw_Data!P27," / "),Raw_Data!P27)</f>
        <v>Everywhere / Partout</v>
      </c>
      <c r="Q27" s="3" t="str">
        <f ca="1">IFERROR(textbefore(Raw_Data!Q27," / "),Raw_Data!Q27)</f>
        <v>Weak / Faible</v>
      </c>
      <c r="R27" s="3" t="str">
        <f ca="1">IFERROR(textbefore(Raw_Data!R27," / "),Raw_Data!R27)</f>
        <v>Severely / Beaucoup</v>
      </c>
      <c r="S27" s="3" t="str">
        <f ca="1">IFERROR(textbefore(Raw_Data!S27," / "),Raw_Data!S27)</f>
        <v>Yes / Oui</v>
      </c>
      <c r="T27" s="3" t="str">
        <f ca="1">IFERROR(textbefore(Raw_Data!T27," / "),Raw_Data!T27)</f>
        <v>Yes / Oui</v>
      </c>
      <c r="U27" s="3" t="str">
        <f ca="1">IFERROR(textbefore(Raw_Data!U27," / "),Raw_Data!U27)</f>
        <v>Only when there is a problem / Seulement en cas de problÃ¨me</v>
      </c>
      <c r="V27" s="3" t="str">
        <f ca="1">IFERROR(textbefore(Raw_Data!V27," / "),Raw_Data!V27)</f>
        <v>Yes / Oui</v>
      </c>
      <c r="W27" s="3" t="str">
        <f ca="1">IFERROR(textbefore(Raw_Data!W27," / "),Raw_Data!W27)</f>
        <v>Privacy / ConfidentialitÃ©</v>
      </c>
    </row>
    <row r="28" spans="1:23" ht="24.75" customHeight="1" x14ac:dyDescent="0.35">
      <c r="A28" s="3" t="str">
        <f>Raw_Data!A28</f>
        <v>2026/04/24 8:25:11 AM GMT+1</v>
      </c>
      <c r="B28" s="3" t="str">
        <f>Raw_Data!B28</f>
        <v>randybright37@gmail.com</v>
      </c>
      <c r="C28" s="3" t="str">
        <f ca="1">IFERROR(textbefore(Raw_Data!C28," / "),Raw_Data!C28)</f>
        <v>MTN;Orange</v>
      </c>
      <c r="D28" s="3" t="str">
        <f ca="1">IFERROR(textbefore(Raw_Data!D28," / "),Raw_Data!D28)</f>
        <v>North West Region</v>
      </c>
      <c r="E28" s="3" t="str">
        <f ca="1">IFERROR(textbefore(Raw_Data!E28," / "),Raw_Data!E28)</f>
        <v>iPhone</v>
      </c>
      <c r="F28" s="3" t="str">
        <f ca="1">IFERROR(textbefore(Raw_Data!F28," / "),Raw_Data!F28)</f>
        <v>20-25</v>
      </c>
      <c r="G28" s="3" t="str">
        <f ca="1">IFERROR(textbefore(textbefore(Raw_Data!G28,";")," / "),IFERROR(textbefore(Raw_Data!G28," / "),Raw_Data!G28))</f>
        <v>Very often / TrÃ¨s souvent</v>
      </c>
      <c r="H28" s="3" t="str">
        <f ca="1">IFERROR(textbefore(Raw_Data!H28," / "),Raw_Data!H28)</f>
        <v>Social media / RÃ©seaux sociaux;Video streaming / VidÃ©o (YouTube, Netflix);Messaging / Messagerie (WhatsApp, etc.);Online classes/work / Cours ou travail en ligne;Browsing / Navigation</v>
      </c>
      <c r="I28" s="3" t="str">
        <f ca="1">IFERROR(textbefore(Raw_Data!I28," / "),Raw_Data!I28)</f>
        <v>Good / Bonne</v>
      </c>
      <c r="J28" s="3">
        <f>Raw_Data!J28</f>
        <v>3</v>
      </c>
      <c r="K28" s="3" t="str">
        <f ca="1">IFERROR(textbefore(Raw_Data!K28," / "),Raw_Data!K28)</f>
        <v>Good / Stable</v>
      </c>
      <c r="L28" s="3" t="str">
        <f ca="1">IFERROR(textbefore(Raw_Data!L28," / "),Raw_Data!L28)</f>
        <v>Often / Souvent</v>
      </c>
      <c r="M28" s="3" t="str">
        <f ca="1">IFERROR(textbefore(Raw_Data!M28," / "),Raw_Data!M28)</f>
        <v>Poor call quality / Mauvaise qualitÃ© dâ€™appel</v>
      </c>
      <c r="N28" s="3" t="str">
        <f ca="1">IFERROR(textbefore(Raw_Data!N28," / "),Raw_Data!N28)</f>
        <v>Often / Souvent</v>
      </c>
      <c r="O28" s="3" t="str">
        <f ca="1">IFERROR(textbefore(Raw_Data!O28," / "),Raw_Data!O28)</f>
        <v>Afternoon / AprÃ¨s-midi</v>
      </c>
      <c r="P28" s="3" t="str">
        <f ca="1">IFERROR(textbefore(Raw_Data!P28," / "),Raw_Data!P28)</f>
        <v>Everywhere / Partout</v>
      </c>
      <c r="Q28" s="3" t="str">
        <f ca="1">IFERROR(textbefore(Raw_Data!Q28," / "),Raw_Data!Q28)</f>
        <v>Strong / Fort</v>
      </c>
      <c r="R28" s="3" t="str">
        <f ca="1">IFERROR(textbefore(Raw_Data!R28," / "),Raw_Data!R28)</f>
        <v>Moderately / Moyennement</v>
      </c>
      <c r="S28" s="3" t="str">
        <f ca="1">IFERROR(textbefore(Raw_Data!S28," / "),Raw_Data!S28)</f>
        <v>Yes / Oui</v>
      </c>
      <c r="T28" s="3" t="str">
        <f ca="1">IFERROR(textbefore(Raw_Data!T28," / "),Raw_Data!T28)</f>
        <v>Yes / Oui</v>
      </c>
      <c r="U28" s="3" t="str">
        <f ca="1">IFERROR(textbefore(Raw_Data!U28," / "),Raw_Data!U28)</f>
        <v>Only when there is a problem / Seulement en cas de problÃ¨me</v>
      </c>
      <c r="V28" s="3" t="str">
        <f ca="1">IFERROR(textbefore(Raw_Data!V28," / "),Raw_Data!V28)</f>
        <v>Yes / Oui</v>
      </c>
      <c r="W28" s="3" t="str">
        <f ca="1">IFERROR(textbefore(Raw_Data!W28," / "),Raw_Data!W28)</f>
        <v>Privacy / ConfidentialitÃ©;Battery usage / Batterie;Data usage / Consommation de donnÃ©es;Security / SÃ©curitÃ©</v>
      </c>
    </row>
    <row r="29" spans="1:23" ht="24.75" customHeight="1" x14ac:dyDescent="0.35">
      <c r="A29" s="3" t="str">
        <f>Raw_Data!A29</f>
        <v>2026/04/24 8:33:12 AM GMT+1</v>
      </c>
      <c r="B29" s="3" t="str">
        <f>Raw_Data!B29</f>
        <v>yadjanga690@gmail.com</v>
      </c>
      <c r="C29" s="3" t="str">
        <f ca="1">IFERROR(textbefore(Raw_Data!C29," / "),Raw_Data!C29)</f>
        <v>Orange</v>
      </c>
      <c r="D29" s="3" t="str">
        <f ca="1">IFERROR(textbefore(Raw_Data!D29," / "),Raw_Data!D29)</f>
        <v>East Region</v>
      </c>
      <c r="E29" s="3" t="str">
        <f ca="1">IFERROR(textbefore(Raw_Data!E29," / "),Raw_Data!E29)</f>
        <v>Android</v>
      </c>
      <c r="F29" s="3" t="str">
        <f ca="1">IFERROR(textbefore(Raw_Data!F29," / "),Raw_Data!F29)</f>
        <v>20-25</v>
      </c>
      <c r="G29" s="3" t="str">
        <f ca="1">IFERROR(textbefore(textbefore(Raw_Data!G29,";")," / "),IFERROR(textbefore(Raw_Data!G29," / "),Raw_Data!G29))</f>
        <v>Often / Souvent</v>
      </c>
      <c r="H29" s="3" t="str">
        <f ca="1">IFERROR(textbefore(Raw_Data!H29," / "),Raw_Data!H29)</f>
        <v>Messaging / Messagerie (WhatsApp, etc.)</v>
      </c>
      <c r="I29" s="3" t="str">
        <f ca="1">IFERROR(textbefore(Raw_Data!I29," / "),Raw_Data!I29)</f>
        <v>Average / Moyenne</v>
      </c>
      <c r="J29" s="3">
        <f>Raw_Data!J29</f>
        <v>3</v>
      </c>
      <c r="K29" s="3" t="str">
        <f ca="1">IFERROR(textbefore(Raw_Data!K29," / "),Raw_Data!K29)</f>
        <v>Poor / Instable</v>
      </c>
      <c r="L29" s="3" t="str">
        <f ca="1">IFERROR(textbefore(Raw_Data!L29," / "),Raw_Data!L29)</f>
        <v>Sometimes / Parfois</v>
      </c>
      <c r="M29" s="3" t="str">
        <f ca="1">IFERROR(textbefore(Raw_Data!M29," / "),Raw_Data!M29)</f>
        <v>Slow internet / Internet lent;Network outages / Pannes rÃ©seau</v>
      </c>
      <c r="N29" s="3" t="str">
        <f ca="1">IFERROR(textbefore(Raw_Data!N29," / "),Raw_Data!N29)</f>
        <v>Very often / TrÃ¨s souvent</v>
      </c>
      <c r="O29" s="3" t="str">
        <f ca="1">IFERROR(textbefore(Raw_Data!O29," / "),Raw_Data!O29)</f>
        <v>Evening / Soir</v>
      </c>
      <c r="P29" s="3" t="str">
        <f ca="1">IFERROR(textbefore(Raw_Data!P29," / "),Raw_Data!P29)</f>
        <v>Everywhere / Partout</v>
      </c>
      <c r="Q29" s="3" t="str">
        <f ca="1">IFERROR(textbefore(Raw_Data!Q29," / "),Raw_Data!Q29)</f>
        <v>Weak / Faible</v>
      </c>
      <c r="R29" s="3" t="str">
        <f ca="1">IFERROR(textbefore(Raw_Data!R29," / "),Raw_Data!R29)</f>
        <v>Slightly / Un peu</v>
      </c>
      <c r="S29" s="3" t="str">
        <f ca="1">IFERROR(textbefore(Raw_Data!S29," / "),Raw_Data!S29)</f>
        <v>No / Non</v>
      </c>
      <c r="T29" s="3" t="str">
        <f ca="1">IFERROR(textbefore(Raw_Data!T29," / "),Raw_Data!T29)</f>
        <v>No / Non</v>
      </c>
      <c r="U29" s="3" t="str">
        <f ca="1">IFERROR(textbefore(Raw_Data!U29," / "),Raw_Data!U29)</f>
        <v>Only when there is a problem / Seulement en cas de problÃ¨me</v>
      </c>
      <c r="V29" s="3" t="str">
        <f ca="1">IFERROR(textbefore(Raw_Data!V29," / "),Raw_Data!V29)</f>
        <v>No / Non</v>
      </c>
      <c r="W29" s="3" t="str">
        <f ca="1">IFERROR(textbefore(Raw_Data!W29," / "),Raw_Data!W29)</f>
        <v>Data usage / Consommation de donnÃ©es</v>
      </c>
    </row>
    <row r="30" spans="1:23" ht="24.75" customHeight="1" x14ac:dyDescent="0.35">
      <c r="A30" s="3" t="str">
        <f>Raw_Data!A30</f>
        <v>2026/04/24 8:34:08 AM GMT+1</v>
      </c>
      <c r="B30" s="3" t="str">
        <f>Raw_Data!B30</f>
        <v>maximilienneweah@gmail.com</v>
      </c>
      <c r="C30" s="3" t="str">
        <f ca="1">IFERROR(textbefore(Raw_Data!C30," / "),Raw_Data!C30)</f>
        <v>Orange</v>
      </c>
      <c r="D30" s="3" t="str">
        <f ca="1">IFERROR(textbefore(Raw_Data!D30," / "),Raw_Data!D30)</f>
        <v>Southwest Region</v>
      </c>
      <c r="E30" s="3" t="str">
        <f ca="1">IFERROR(textbefore(Raw_Data!E30," / "),Raw_Data!E30)</f>
        <v>iPhone</v>
      </c>
      <c r="F30" s="3" t="str">
        <f ca="1">IFERROR(textbefore(Raw_Data!F30," / "),Raw_Data!F30)</f>
        <v>15-20</v>
      </c>
      <c r="G30" s="3" t="str">
        <f ca="1">IFERROR(textbefore(textbefore(Raw_Data!G30,";")," / "),IFERROR(textbefore(Raw_Data!G30," / "),Raw_Data!G30))</f>
        <v>Very often / TrÃ¨s souvent</v>
      </c>
      <c r="H30" s="3" t="str">
        <f ca="1">IFERROR(textbefore(Raw_Data!H30," / "),Raw_Data!H30)</f>
        <v>Social media / RÃ©seaux sociaux;Messaging / Messagerie (WhatsApp, etc.);Online classes/work / Cours ou travail en ligne;Browsing / Navigation</v>
      </c>
      <c r="I30" s="3" t="str">
        <f ca="1">IFERROR(textbefore(Raw_Data!I30," / "),Raw_Data!I30)</f>
        <v>Average / Moyenne</v>
      </c>
      <c r="J30" s="3">
        <f>Raw_Data!J30</f>
        <v>2</v>
      </c>
      <c r="K30" s="3" t="str">
        <f ca="1">IFERROR(textbefore(Raw_Data!K30," / "),Raw_Data!K30)</f>
        <v>Average / Moyenne</v>
      </c>
      <c r="L30" s="3" t="str">
        <f ca="1">IFERROR(textbefore(Raw_Data!L30," / "),Raw_Data!L30)</f>
        <v>Often / Souvent</v>
      </c>
      <c r="M30" s="3" t="str">
        <f ca="1">IFERROR(textbefore(Raw_Data!M30," / "),Raw_Data!M30)</f>
        <v>Slow internet / Internet lent;Call drops / Coupures d'appel;No signal / Pas de rÃ©seau;Poor call quality / Mauvaise qualitÃ© dâ€™appel;Network outages / Pannes rÃ©seau</v>
      </c>
      <c r="N30" s="3" t="str">
        <f ca="1">IFERROR(textbefore(Raw_Data!N30," / "),Raw_Data!N30)</f>
        <v>Often / Souvent</v>
      </c>
      <c r="O30" s="3" t="str">
        <f ca="1">IFERROR(textbefore(Raw_Data!O30," / "),Raw_Data!O30)</f>
        <v>Evening / Soir</v>
      </c>
      <c r="P30" s="3" t="str">
        <f ca="1">IFERROR(textbefore(Raw_Data!P30," / "),Raw_Data!P30)</f>
        <v>Everywhere / Partout</v>
      </c>
      <c r="Q30" s="3" t="str">
        <f ca="1">IFERROR(textbefore(Raw_Data!Q30," / "),Raw_Data!Q30)</f>
        <v>Moderate / Moyen</v>
      </c>
      <c r="R30" s="3" t="str">
        <f ca="1">IFERROR(textbefore(Raw_Data!R30," / "),Raw_Data!R30)</f>
        <v>Severely / Beaucoup</v>
      </c>
      <c r="S30" s="3" t="str">
        <f ca="1">IFERROR(textbefore(Raw_Data!S30," / "),Raw_Data!S30)</f>
        <v>Yes / Oui</v>
      </c>
      <c r="T30" s="3" t="str">
        <f ca="1">IFERROR(textbefore(Raw_Data!T30," / "),Raw_Data!T30)</f>
        <v>Yes / Oui</v>
      </c>
      <c r="U30" s="3" t="str">
        <f ca="1">IFERROR(textbefore(Raw_Data!U30," / "),Raw_Data!U30)</f>
        <v>Once a day / Une fois par jour</v>
      </c>
      <c r="V30" s="3" t="str">
        <f ca="1">IFERROR(textbefore(Raw_Data!V30," / "),Raw_Data!V30)</f>
        <v>Yes / Oui</v>
      </c>
      <c r="W30" s="3" t="str">
        <f ca="1">IFERROR(textbefore(Raw_Data!W30," / "),Raw_Data!W30)</f>
        <v>Privacy / ConfidentialitÃ©;Battery usage / Batterie;Data usage / Consommation de donnÃ©es;Security / SÃ©curitÃ©</v>
      </c>
    </row>
    <row r="31" spans="1:23" ht="24.75" customHeight="1" x14ac:dyDescent="0.35">
      <c r="A31" s="3" t="str">
        <f>Raw_Data!A31</f>
        <v>2026/04/24 8:39:53 AM GMT+1</v>
      </c>
      <c r="B31" s="3" t="str">
        <f>Raw_Data!B31</f>
        <v>christabeltewah191@gmail.com</v>
      </c>
      <c r="C31" s="3" t="str">
        <f ca="1">IFERROR(textbefore(Raw_Data!C31," / "),Raw_Data!C31)</f>
        <v>MTN</v>
      </c>
      <c r="D31" s="3" t="str">
        <f ca="1">IFERROR(textbefore(Raw_Data!D31," / "),Raw_Data!D31)</f>
        <v>North West Region</v>
      </c>
      <c r="E31" s="3" t="str">
        <f ca="1">IFERROR(textbefore(Raw_Data!E31," / "),Raw_Data!E31)</f>
        <v>Android</v>
      </c>
      <c r="F31" s="3" t="str">
        <f ca="1">IFERROR(textbefore(Raw_Data!F31," / "),Raw_Data!F31)</f>
        <v>25 and above</v>
      </c>
      <c r="G31" s="3" t="str">
        <f ca="1">IFERROR(textbefore(textbefore(Raw_Data!G31,";")," / "),IFERROR(textbefore(Raw_Data!G31," / "),Raw_Data!G31))</f>
        <v>Very often / TrÃ¨s souvent</v>
      </c>
      <c r="H31" s="3" t="str">
        <f ca="1">IFERROR(textbefore(Raw_Data!H31," / "),Raw_Data!H31)</f>
        <v>Messaging / Messagerie (WhatsApp, etc.)</v>
      </c>
      <c r="I31" s="3" t="str">
        <f ca="1">IFERROR(textbefore(Raw_Data!I31," / "),Raw_Data!I31)</f>
        <v>Very Poor / TrÃ¨s mauvaise</v>
      </c>
      <c r="J31" s="3">
        <f>Raw_Data!J31</f>
        <v>1</v>
      </c>
      <c r="K31" s="3" t="str">
        <f ca="1">IFERROR(textbefore(Raw_Data!K31," / "),Raw_Data!K31)</f>
        <v>Very Poor / TrÃ¨s instable</v>
      </c>
      <c r="L31" s="3" t="str">
        <f ca="1">IFERROR(textbefore(Raw_Data!L31," / "),Raw_Data!L31)</f>
        <v>Always / Toujours</v>
      </c>
      <c r="M31" s="3" t="str">
        <f ca="1">IFERROR(textbefore(Raw_Data!M31," / "),Raw_Data!M31)</f>
        <v>Slow internet / Internet lent</v>
      </c>
      <c r="N31" s="3" t="str">
        <f ca="1">IFERROR(textbefore(Raw_Data!N31," / "),Raw_Data!N31)</f>
        <v>Very often / TrÃ¨s souvent</v>
      </c>
      <c r="O31" s="3" t="str">
        <f ca="1">IFERROR(textbefore(Raw_Data!O31," / "),Raw_Data!O31)</f>
        <v>Afternoon / AprÃ¨s-midi</v>
      </c>
      <c r="P31" s="3" t="str">
        <f ca="1">IFERROR(textbefore(Raw_Data!P31," / "),Raw_Data!P31)</f>
        <v>Everywhere / Partout</v>
      </c>
      <c r="Q31" s="3" t="str">
        <f ca="1">IFERROR(textbefore(Raw_Data!Q31," / "),Raw_Data!Q31)</f>
        <v>Very Weak / TrÃ¨s faible</v>
      </c>
      <c r="R31" s="3" t="str">
        <f ca="1">IFERROR(textbefore(Raw_Data!R31," / "),Raw_Data!R31)</f>
        <v>Severely / Beaucoup</v>
      </c>
      <c r="S31" s="3" t="str">
        <f ca="1">IFERROR(textbefore(Raw_Data!S31," / "),Raw_Data!S31)</f>
        <v>Yes / Oui</v>
      </c>
      <c r="T31" s="3" t="str">
        <f ca="1">IFERROR(textbefore(Raw_Data!T31," / "),Raw_Data!T31)</f>
        <v>Yes / Oui</v>
      </c>
      <c r="U31" s="3" t="str">
        <f ca="1">IFERROR(textbefore(Raw_Data!U31," / "),Raw_Data!U31)</f>
        <v>Only when there is a problem / Seulement en cas de problÃ¨me</v>
      </c>
      <c r="V31" s="3" t="str">
        <f ca="1">IFERROR(textbefore(Raw_Data!V31," / "),Raw_Data!V31)</f>
        <v>Yes / Oui</v>
      </c>
      <c r="W31" s="3" t="str">
        <f ca="1">IFERROR(textbefore(Raw_Data!W31," / "),Raw_Data!W31)</f>
        <v>Data usage / Consommation de donnÃ©es</v>
      </c>
    </row>
    <row r="32" spans="1:23" ht="24.75" customHeight="1" x14ac:dyDescent="0.35">
      <c r="A32" s="3" t="str">
        <f>Raw_Data!A32</f>
        <v>2026/04/24 8:40:55 AM GMT+1</v>
      </c>
      <c r="B32" s="3" t="str">
        <f>Raw_Data!B32</f>
        <v>bonmasylvia@gmail.com</v>
      </c>
      <c r="C32" s="3" t="str">
        <f ca="1">IFERROR(textbefore(Raw_Data!C32," / "),Raw_Data!C32)</f>
        <v>MTN</v>
      </c>
      <c r="D32" s="3" t="str">
        <f ca="1">IFERROR(textbefore(Raw_Data!D32," / "),Raw_Data!D32)</f>
        <v>Littoral Region</v>
      </c>
      <c r="E32" s="3" t="str">
        <f ca="1">IFERROR(textbefore(Raw_Data!E32," / "),Raw_Data!E32)</f>
        <v>Android</v>
      </c>
      <c r="F32" s="3" t="str">
        <f ca="1">IFERROR(textbefore(Raw_Data!F32," / "),Raw_Data!F32)</f>
        <v>25 and above</v>
      </c>
      <c r="G32" s="3" t="str">
        <f ca="1">IFERROR(textbefore(textbefore(Raw_Data!G32,";")," / "),IFERROR(textbefore(Raw_Data!G32," / "),Raw_Data!G32))</f>
        <v>Very often / TrÃ¨s souvent</v>
      </c>
      <c r="H32" s="3" t="str">
        <f ca="1">IFERROR(textbefore(Raw_Data!H32," / "),Raw_Data!H32)</f>
        <v>Social media / RÃ©seaux sociaux;Video streaming / VidÃ©o (YouTube, Netflix);Messaging / Messagerie (WhatsApp, etc.);Online classes/work / Cours ou travail en ligne;Gaming / Jeux;Browsing / Navigation</v>
      </c>
      <c r="I32" s="3" t="str">
        <f ca="1">IFERROR(textbefore(Raw_Data!I32," / "),Raw_Data!I32)</f>
        <v>Average / Moyenne</v>
      </c>
      <c r="J32" s="3">
        <f>Raw_Data!J32</f>
        <v>3</v>
      </c>
      <c r="K32" s="3" t="str">
        <f ca="1">IFERROR(textbefore(Raw_Data!K32," / "),Raw_Data!K32)</f>
        <v>Average / Moyenne</v>
      </c>
      <c r="L32" s="3" t="str">
        <f ca="1">IFERROR(textbefore(Raw_Data!L32," / "),Raw_Data!L32)</f>
        <v>Sometimes / Parfois</v>
      </c>
      <c r="M32" s="3" t="str">
        <f ca="1">IFERROR(textbefore(Raw_Data!M32," / "),Raw_Data!M32)</f>
        <v>Call drops / Coupures d'appel</v>
      </c>
      <c r="N32" s="3" t="str">
        <f ca="1">IFERROR(textbefore(Raw_Data!N32," / "),Raw_Data!N32)</f>
        <v>Sometimes / Parfois</v>
      </c>
      <c r="O32" s="3" t="str">
        <f ca="1">IFERROR(textbefore(Raw_Data!O32," / "),Raw_Data!O32)</f>
        <v>Afternoon / AprÃ¨s-midi</v>
      </c>
      <c r="P32" s="3" t="str">
        <f ca="1">IFERROR(textbefore(Raw_Data!P32," / "),Raw_Data!P32)</f>
        <v>On the road / En dÃ©placement</v>
      </c>
      <c r="Q32" s="3" t="str">
        <f ca="1">IFERROR(textbefore(Raw_Data!Q32," / "),Raw_Data!Q32)</f>
        <v>Moderate / Moyen</v>
      </c>
      <c r="R32" s="3" t="str">
        <f ca="1">IFERROR(textbefore(Raw_Data!R32," / "),Raw_Data!R32)</f>
        <v>Slightly / Un peu</v>
      </c>
      <c r="S32" s="3" t="str">
        <f ca="1">IFERROR(textbefore(Raw_Data!S32," / "),Raw_Data!S32)</f>
        <v>Yes / Oui</v>
      </c>
      <c r="T32" s="3" t="str">
        <f ca="1">IFERROR(textbefore(Raw_Data!T32," / "),Raw_Data!T32)</f>
        <v>No / Non</v>
      </c>
      <c r="U32" s="3" t="str">
        <f ca="1">IFERROR(textbefore(Raw_Data!U32," / "),Raw_Data!U32)</f>
        <v>Every time / Ã€ chaque fois</v>
      </c>
      <c r="V32" s="3" t="str">
        <f ca="1">IFERROR(textbefore(Raw_Data!V32," / "),Raw_Data!V32)</f>
        <v>No / Non</v>
      </c>
      <c r="W32" s="3" t="str">
        <f ca="1">IFERROR(textbefore(Raw_Data!W32," / "),Raw_Data!W32)</f>
        <v>Privacy / ConfidentialitÃ©;Security / SÃ©curitÃ©</v>
      </c>
    </row>
    <row r="33" spans="1:23" ht="24.75" customHeight="1" x14ac:dyDescent="0.35">
      <c r="A33" s="3" t="str">
        <f>Raw_Data!A33</f>
        <v>2026/04/24 8:45:05 AM GMT+1</v>
      </c>
      <c r="B33" s="3" t="str">
        <f>Raw_Data!B33</f>
        <v>jamisonntuv@gmail.com</v>
      </c>
      <c r="C33" s="3" t="str">
        <f ca="1">IFERROR(textbefore(Raw_Data!C33," / "),Raw_Data!C33)</f>
        <v>MTN</v>
      </c>
      <c r="D33" s="3" t="str">
        <f ca="1">IFERROR(textbefore(Raw_Data!D33," / "),Raw_Data!D33)</f>
        <v>South Region</v>
      </c>
      <c r="E33" s="3" t="str">
        <f ca="1">IFERROR(textbefore(Raw_Data!E33," / "),Raw_Data!E33)</f>
        <v>Android</v>
      </c>
      <c r="F33" s="3" t="str">
        <f ca="1">IFERROR(textbefore(Raw_Data!F33," / "),Raw_Data!F33)</f>
        <v>20-25</v>
      </c>
      <c r="G33" s="3" t="str">
        <f ca="1">IFERROR(textbefore(textbefore(Raw_Data!G33,";")," / "),IFERROR(textbefore(Raw_Data!G33," / "),Raw_Data!G33))</f>
        <v>Very often / TrÃ¨s souvent</v>
      </c>
      <c r="H33" s="3" t="str">
        <f ca="1">IFERROR(textbefore(Raw_Data!H33," / "),Raw_Data!H33)</f>
        <v>Online classes/work / Cours ou travail en ligne</v>
      </c>
      <c r="I33" s="3" t="str">
        <f ca="1">IFERROR(textbefore(Raw_Data!I33," / "),Raw_Data!I33)</f>
        <v>Very Poor / TrÃ¨s mauvaise</v>
      </c>
      <c r="J33" s="3">
        <f>Raw_Data!J33</f>
        <v>3</v>
      </c>
      <c r="K33" s="3" t="str">
        <f ca="1">IFERROR(textbefore(Raw_Data!K33," / "),Raw_Data!K33)</f>
        <v>Good / Stable</v>
      </c>
      <c r="L33" s="3" t="str">
        <f ca="1">IFERROR(textbefore(Raw_Data!L33," / "),Raw_Data!L33)</f>
        <v>Always / Toujours</v>
      </c>
      <c r="M33" s="3" t="str">
        <f ca="1">IFERROR(textbefore(Raw_Data!M33," / "),Raw_Data!M33)</f>
        <v>Slow internet / Internet lent</v>
      </c>
      <c r="N33" s="3" t="str">
        <f ca="1">IFERROR(textbefore(Raw_Data!N33," / "),Raw_Data!N33)</f>
        <v>Very often / TrÃ¨s souvent</v>
      </c>
      <c r="O33" s="3" t="str">
        <f ca="1">IFERROR(textbefore(Raw_Data!O33," / "),Raw_Data!O33)</f>
        <v>Night / Nuit</v>
      </c>
      <c r="P33" s="3" t="str">
        <f ca="1">IFERROR(textbefore(Raw_Data!P33," / "),Raw_Data!P33)</f>
        <v>School/Work / Ã‰cole/Travail</v>
      </c>
      <c r="Q33" s="3" t="str">
        <f ca="1">IFERROR(textbefore(Raw_Data!Q33," / "),Raw_Data!Q33)</f>
        <v>Moderate / Moyen</v>
      </c>
      <c r="R33" s="3" t="str">
        <f ca="1">IFERROR(textbefore(Raw_Data!R33," / "),Raw_Data!R33)</f>
        <v>Severely / Beaucoup</v>
      </c>
      <c r="S33" s="3" t="str">
        <f ca="1">IFERROR(textbefore(Raw_Data!S33," / "),Raw_Data!S33)</f>
        <v>Yes / Oui</v>
      </c>
      <c r="T33" s="3" t="str">
        <f ca="1">IFERROR(textbefore(Raw_Data!T33," / "),Raw_Data!T33)</f>
        <v>Yes / Oui</v>
      </c>
      <c r="U33" s="3" t="str">
        <f ca="1">IFERROR(textbefore(Raw_Data!U33," / "),Raw_Data!U33)</f>
        <v>Once a day / Une fois par jour</v>
      </c>
      <c r="V33" s="3" t="str">
        <f ca="1">IFERROR(textbefore(Raw_Data!V33," / "),Raw_Data!V33)</f>
        <v>Yes / Oui</v>
      </c>
      <c r="W33" s="3" t="str">
        <f ca="1">IFERROR(textbefore(Raw_Data!W33," / "),Raw_Data!W33)</f>
        <v>Battery usage / Batterie;Data usage / Consommation de donnÃ©es</v>
      </c>
    </row>
    <row r="34" spans="1:23" ht="24.75" customHeight="1" x14ac:dyDescent="0.35">
      <c r="A34" s="3" t="str">
        <f>Raw_Data!A34</f>
        <v>2026/04/24 8:55:12 AM GMT+1</v>
      </c>
      <c r="B34" s="3" t="str">
        <f>Raw_Data!B34</f>
        <v>nahfrancis64@gmail.com</v>
      </c>
      <c r="C34" s="3" t="str">
        <f ca="1">IFERROR(textbefore(Raw_Data!C34," / "),Raw_Data!C34)</f>
        <v>MTN;Camtel</v>
      </c>
      <c r="D34" s="3" t="str">
        <f ca="1">IFERROR(textbefore(Raw_Data!D34," / "),Raw_Data!D34)</f>
        <v>Center Regional</v>
      </c>
      <c r="E34" s="3" t="str">
        <f ca="1">IFERROR(textbefore(Raw_Data!E34," / "),Raw_Data!E34)</f>
        <v>Android</v>
      </c>
      <c r="F34" s="3" t="str">
        <f ca="1">IFERROR(textbefore(Raw_Data!F34," / "),Raw_Data!F34)</f>
        <v>20-25</v>
      </c>
      <c r="G34" s="3" t="str">
        <f ca="1">IFERROR(textbefore(textbefore(Raw_Data!G34,";")," / "),IFERROR(textbefore(Raw_Data!G34," / "),Raw_Data!G34))</f>
        <v>Very often / TrÃ¨s souvent</v>
      </c>
      <c r="H34" s="3" t="str">
        <f ca="1">IFERROR(textbefore(Raw_Data!H34," / "),Raw_Data!H34)</f>
        <v xml:space="preserve">Social media / RÃ©seaux sociaux;Messaging / Messagerie (WhatsApp, etc.);Online classes/work / Cours ou travail en ligne;Programming </v>
      </c>
      <c r="I34" s="3" t="str">
        <f ca="1">IFERROR(textbefore(Raw_Data!I34," / "),Raw_Data!I34)</f>
        <v>Poor / Mauvaise</v>
      </c>
      <c r="J34" s="3">
        <f>Raw_Data!J34</f>
        <v>3</v>
      </c>
      <c r="K34" s="3" t="str">
        <f ca="1">IFERROR(textbefore(Raw_Data!K34," / "),Raw_Data!K34)</f>
        <v>Poor / Instable</v>
      </c>
      <c r="L34" s="3" t="str">
        <f ca="1">IFERROR(textbefore(Raw_Data!L34," / "),Raw_Data!L34)</f>
        <v>Often / Souvent</v>
      </c>
      <c r="M34" s="3" t="str">
        <f ca="1">IFERROR(textbefore(Raw_Data!M34," / "),Raw_Data!M34)</f>
        <v>Slow internet / Internet lent;No signal / Pas de rÃ©seau</v>
      </c>
      <c r="N34" s="3" t="str">
        <f ca="1">IFERROR(textbefore(Raw_Data!N34," / "),Raw_Data!N34)</f>
        <v>Very often / TrÃ¨s souvent</v>
      </c>
      <c r="O34" s="3" t="str">
        <f ca="1">IFERROR(textbefore(Raw_Data!O34," / "),Raw_Data!O34)</f>
        <v>Morning / Matin</v>
      </c>
      <c r="P34" s="3" t="str">
        <f ca="1">IFERROR(textbefore(Raw_Data!P34," / "),Raw_Data!P34)</f>
        <v>School/Work / Ã‰cole/Travail</v>
      </c>
      <c r="Q34" s="3" t="str">
        <f ca="1">IFERROR(textbefore(Raw_Data!Q34," / "),Raw_Data!Q34)</f>
        <v>Weak / Faible</v>
      </c>
      <c r="R34" s="3" t="str">
        <f ca="1">IFERROR(textbefore(Raw_Data!R34," / "),Raw_Data!R34)</f>
        <v>Severely / Beaucoup</v>
      </c>
      <c r="S34" s="3" t="str">
        <f ca="1">IFERROR(textbefore(Raw_Data!S34," / "),Raw_Data!S34)</f>
        <v>Yes / Oui</v>
      </c>
      <c r="T34" s="3" t="str">
        <f ca="1">IFERROR(textbefore(Raw_Data!T34," / "),Raw_Data!T34)</f>
        <v>No / Non</v>
      </c>
      <c r="U34" s="3" t="str">
        <f ca="1">IFERROR(textbefore(Raw_Data!U34," / "),Raw_Data!U34)</f>
        <v>Only when there is a problem / Seulement en cas de problÃ¨me</v>
      </c>
      <c r="V34" s="3" t="str">
        <f ca="1">IFERROR(textbefore(Raw_Data!V34," / "),Raw_Data!V34)</f>
        <v>Yes / Oui</v>
      </c>
      <c r="W34" s="3" t="str">
        <f ca="1">IFERROR(textbefore(Raw_Data!W34," / "),Raw_Data!W34)</f>
        <v>Privacy / ConfidentialitÃ©;Data usage / Consommation de donnÃ©es;Security / SÃ©curitÃ©</v>
      </c>
    </row>
    <row r="35" spans="1:23" ht="24.75" customHeight="1" x14ac:dyDescent="0.35">
      <c r="A35" s="3" t="str">
        <f>Raw_Data!A35</f>
        <v>2026/04/24 8:55:58 AM GMT+1</v>
      </c>
      <c r="B35" s="3" t="str">
        <f>Raw_Data!B35</f>
        <v>tekweolivia@gmail.com</v>
      </c>
      <c r="C35" s="3" t="str">
        <f ca="1">IFERROR(textbefore(Raw_Data!C35," / "),Raw_Data!C35)</f>
        <v>MTN;Orange</v>
      </c>
      <c r="D35" s="3" t="str">
        <f ca="1">IFERROR(textbefore(Raw_Data!D35," / "),Raw_Data!D35)</f>
        <v>Southwest Region</v>
      </c>
      <c r="E35" s="3" t="str">
        <f ca="1">IFERROR(textbefore(Raw_Data!E35," / "),Raw_Data!E35)</f>
        <v>Android</v>
      </c>
      <c r="F35" s="3" t="str">
        <f ca="1">IFERROR(textbefore(Raw_Data!F35," / "),Raw_Data!F35)</f>
        <v>25 and above</v>
      </c>
      <c r="G35" s="3" t="str">
        <f ca="1">IFERROR(textbefore(textbefore(Raw_Data!G35,";")," / "),IFERROR(textbefore(Raw_Data!G35," / "),Raw_Data!G35))</f>
        <v>Very often / TrÃ¨s souvent</v>
      </c>
      <c r="H35" s="3" t="str">
        <f ca="1">IFERROR(textbefore(Raw_Data!H35," / "),Raw_Data!H35)</f>
        <v>Social media / RÃ©seaux sociaux;Video streaming / VidÃ©o (YouTube, Netflix);Messaging / Messagerie (WhatsApp, etc.);Online classes/work / Cours ou travail en ligne;Browsing / Navigation</v>
      </c>
      <c r="I35" s="3" t="str">
        <f ca="1">IFERROR(textbefore(Raw_Data!I35," / "),Raw_Data!I35)</f>
        <v>Good / Bonne</v>
      </c>
      <c r="J35" s="3">
        <f>Raw_Data!J35</f>
        <v>3</v>
      </c>
      <c r="K35" s="3" t="str">
        <f ca="1">IFERROR(textbefore(Raw_Data!K35," / "),Raw_Data!K35)</f>
        <v>Average / Moyenne</v>
      </c>
      <c r="L35" s="3" t="str">
        <f ca="1">IFERROR(textbefore(Raw_Data!L35," / "),Raw_Data!L35)</f>
        <v>Sometimes / Parfois</v>
      </c>
      <c r="M35" s="3" t="str">
        <f ca="1">IFERROR(textbefore(Raw_Data!M35," / "),Raw_Data!M35)</f>
        <v>Slow internet / Internet lent</v>
      </c>
      <c r="N35" s="3" t="str">
        <f ca="1">IFERROR(textbefore(Raw_Data!N35," / "),Raw_Data!N35)</f>
        <v>Sometimes / Parfois</v>
      </c>
      <c r="O35" s="3" t="str">
        <f ca="1">IFERROR(textbefore(Raw_Data!O35," / "),Raw_Data!O35)</f>
        <v>Afternoon / AprÃ¨s-midi</v>
      </c>
      <c r="P35" s="3" t="str">
        <f ca="1">IFERROR(textbefore(Raw_Data!P35," / "),Raw_Data!P35)</f>
        <v>Everywhere / Partout</v>
      </c>
      <c r="Q35" s="3" t="str">
        <f ca="1">IFERROR(textbefore(Raw_Data!Q35," / "),Raw_Data!Q35)</f>
        <v>Moderate / Moyen</v>
      </c>
      <c r="R35" s="3" t="str">
        <f ca="1">IFERROR(textbefore(Raw_Data!R35," / "),Raw_Data!R35)</f>
        <v>Moderately / Moyennement</v>
      </c>
      <c r="S35" s="3" t="str">
        <f ca="1">IFERROR(textbefore(Raw_Data!S35," / "),Raw_Data!S35)</f>
        <v>Yes / Oui</v>
      </c>
      <c r="T35" s="3" t="str">
        <f ca="1">IFERROR(textbefore(Raw_Data!T35," / "),Raw_Data!T35)</f>
        <v>Yes / Oui</v>
      </c>
      <c r="U35" s="3" t="str">
        <f ca="1">IFERROR(textbefore(Raw_Data!U35," / "),Raw_Data!U35)</f>
        <v>Once a day / Une fois par jour</v>
      </c>
      <c r="V35" s="3" t="str">
        <f ca="1">IFERROR(textbefore(Raw_Data!V35," / "),Raw_Data!V35)</f>
        <v>Yes / Oui</v>
      </c>
      <c r="W35" s="3" t="str">
        <f ca="1">IFERROR(textbefore(Raw_Data!W35," / "),Raw_Data!W35)</f>
        <v>Security / SÃ©curitÃ©</v>
      </c>
    </row>
    <row r="36" spans="1:23" ht="24.75" customHeight="1" x14ac:dyDescent="0.35">
      <c r="A36" s="3" t="str">
        <f>Raw_Data!A36</f>
        <v>2026/04/24 8:59:45 AM GMT+1</v>
      </c>
      <c r="B36" s="3" t="str">
        <f>Raw_Data!B36</f>
        <v>gemuhakury@gmail.com</v>
      </c>
      <c r="C36" s="3" t="str">
        <f ca="1">IFERROR(textbefore(Raw_Data!C36," / "),Raw_Data!C36)</f>
        <v>MTN</v>
      </c>
      <c r="D36" s="3" t="str">
        <f ca="1">IFERROR(textbefore(Raw_Data!D36," / "),Raw_Data!D36)</f>
        <v>Southwest Region</v>
      </c>
      <c r="E36" s="3" t="str">
        <f ca="1">IFERROR(textbefore(Raw_Data!E36," / "),Raw_Data!E36)</f>
        <v>Android</v>
      </c>
      <c r="F36" s="3" t="str">
        <f ca="1">IFERROR(textbefore(Raw_Data!F36," / "),Raw_Data!F36)</f>
        <v>20-25</v>
      </c>
      <c r="G36" s="3" t="str">
        <f ca="1">IFERROR(textbefore(textbefore(Raw_Data!G36,";")," / "),IFERROR(textbefore(Raw_Data!G36," / "),Raw_Data!G36))</f>
        <v>Very often / TrÃ¨s souvent</v>
      </c>
      <c r="H36" s="3" t="str">
        <f ca="1">IFERROR(textbefore(Raw_Data!H36," / "),Raw_Data!H36)</f>
        <v>Social media / RÃ©seaux sociaux;Video streaming / VidÃ©o (YouTube, Netflix);Messaging / Messagerie (WhatsApp, etc.)</v>
      </c>
      <c r="I36" s="3" t="str">
        <f ca="1">IFERROR(textbefore(Raw_Data!I36," / "),Raw_Data!I36)</f>
        <v>Average / Moyenne</v>
      </c>
      <c r="J36" s="3">
        <f>Raw_Data!J36</f>
        <v>3</v>
      </c>
      <c r="K36" s="3" t="str">
        <f ca="1">IFERROR(textbefore(Raw_Data!K36," / "),Raw_Data!K36)</f>
        <v>Poor / Instable</v>
      </c>
      <c r="L36" s="3" t="str">
        <f ca="1">IFERROR(textbefore(Raw_Data!L36," / "),Raw_Data!L36)</f>
        <v>Often / Souvent</v>
      </c>
      <c r="M36" s="3" t="str">
        <f ca="1">IFERROR(textbefore(Raw_Data!M36," / "),Raw_Data!M36)</f>
        <v>Slow internet / Internet lent;Poor call quality / Mauvaise qualitÃ© dâ€™appel</v>
      </c>
      <c r="N36" s="3" t="str">
        <f ca="1">IFERROR(textbefore(Raw_Data!N36," / "),Raw_Data!N36)</f>
        <v>Often / Souvent;Sometimes / Parfois</v>
      </c>
      <c r="O36" s="3" t="str">
        <f ca="1">IFERROR(textbefore(Raw_Data!O36," / "),Raw_Data!O36)</f>
        <v>Afternoon / AprÃ¨s-midi</v>
      </c>
      <c r="P36" s="3" t="str">
        <f ca="1">IFERROR(textbefore(Raw_Data!P36," / "),Raw_Data!P36)</f>
        <v>School/Work / Ã‰cole/Travail</v>
      </c>
      <c r="Q36" s="3" t="str">
        <f ca="1">IFERROR(textbefore(Raw_Data!Q36," / "),Raw_Data!Q36)</f>
        <v>Moderate / Moyen</v>
      </c>
      <c r="R36" s="3" t="str">
        <f ca="1">IFERROR(textbefore(Raw_Data!R36," / "),Raw_Data!R36)</f>
        <v>Severely / Beaucoup</v>
      </c>
      <c r="S36" s="3" t="str">
        <f ca="1">IFERROR(textbefore(Raw_Data!S36," / "),Raw_Data!S36)</f>
        <v>Yes / Oui</v>
      </c>
      <c r="T36" s="3" t="str">
        <f ca="1">IFERROR(textbefore(Raw_Data!T36," / "),Raw_Data!T36)</f>
        <v>Yes / Oui</v>
      </c>
      <c r="U36" s="3" t="str">
        <f ca="1">IFERROR(textbefore(Raw_Data!U36," / "),Raw_Data!U36)</f>
        <v>Once a day / Une fois par jour;Only when there is a problem / Seulement en cas de problÃ¨me</v>
      </c>
      <c r="V36" s="3" t="str">
        <f ca="1">IFERROR(textbefore(Raw_Data!V36," / "),Raw_Data!V36)</f>
        <v>Yes / Oui</v>
      </c>
      <c r="W36" s="3" t="str">
        <f ca="1">IFERROR(textbefore(Raw_Data!W36," / "),Raw_Data!W36)</f>
        <v>Privacy / ConfidentialitÃ©;Security / SÃ©curitÃ©</v>
      </c>
    </row>
    <row r="37" spans="1:23" ht="24.75" customHeight="1" x14ac:dyDescent="0.35">
      <c r="A37" s="3" t="str">
        <f>Raw_Data!A37</f>
        <v>2026/04/24 9:07:13 AM GMT+1</v>
      </c>
      <c r="B37" s="3" t="str">
        <f>Raw_Data!B37</f>
        <v>edelqueenmankaa@gmail.com</v>
      </c>
      <c r="C37" s="3" t="str">
        <f ca="1">IFERROR(textbefore(Raw_Data!C37," / "),Raw_Data!C37)</f>
        <v>MTN;Orange</v>
      </c>
      <c r="D37" s="3" t="str">
        <f ca="1">IFERROR(textbefore(Raw_Data!D37," / "),Raw_Data!D37)</f>
        <v>North West Region</v>
      </c>
      <c r="E37" s="3" t="str">
        <f ca="1">IFERROR(textbefore(Raw_Data!E37," / "),Raw_Data!E37)</f>
        <v>Android</v>
      </c>
      <c r="F37" s="3" t="str">
        <f ca="1">IFERROR(textbefore(Raw_Data!F37," / "),Raw_Data!F37)</f>
        <v>20-25</v>
      </c>
      <c r="G37" s="3" t="str">
        <f ca="1">IFERROR(textbefore(textbefore(Raw_Data!G37,";")," / "),IFERROR(textbefore(Raw_Data!G37," / "),Raw_Data!G37))</f>
        <v>Very often / TrÃ¨s souvent</v>
      </c>
      <c r="H37" s="3" t="str">
        <f ca="1">IFERROR(textbefore(Raw_Data!H37," / "),Raw_Data!H37)</f>
        <v>Social media / RÃ©seaux sociaux;Messaging / Messagerie (WhatsApp, etc.);Online classes/work / Cours ou travail en ligne</v>
      </c>
      <c r="I37" s="3" t="str">
        <f ca="1">IFERROR(textbefore(Raw_Data!I37," / "),Raw_Data!I37)</f>
        <v>Poor / Mauvaise;Average / Moyenne</v>
      </c>
      <c r="J37" s="3">
        <f>Raw_Data!J37</f>
        <v>3</v>
      </c>
      <c r="K37" s="3" t="str">
        <f ca="1">IFERROR(textbefore(Raw_Data!K37," / "),Raw_Data!K37)</f>
        <v>Average / Moyenne</v>
      </c>
      <c r="L37" s="3" t="str">
        <f ca="1">IFERROR(textbefore(Raw_Data!L37," / "),Raw_Data!L37)</f>
        <v>Often / Souvent</v>
      </c>
      <c r="M37" s="3" t="str">
        <f ca="1">IFERROR(textbefore(Raw_Data!M37," / "),Raw_Data!M37)</f>
        <v>Slow internet / Internet lent;No signal / Pas de rÃ©seau;Poor call quality / Mauvaise qualitÃ© dâ€™appel</v>
      </c>
      <c r="N37" s="3" t="str">
        <f ca="1">IFERROR(textbefore(Raw_Data!N37," / "),Raw_Data!N37)</f>
        <v>Often / Souvent</v>
      </c>
      <c r="O37" s="3" t="str">
        <f ca="1">IFERROR(textbefore(Raw_Data!O37," / "),Raw_Data!O37)</f>
        <v>Afternoon / AprÃ¨s-midi</v>
      </c>
      <c r="P37" s="3" t="str">
        <f ca="1">IFERROR(textbefore(Raw_Data!P37," / "),Raw_Data!P37)</f>
        <v>School/Work / Ã‰cole/Travail</v>
      </c>
      <c r="Q37" s="3" t="str">
        <f ca="1">IFERROR(textbefore(Raw_Data!Q37," / "),Raw_Data!Q37)</f>
        <v>Moderate / Moyen</v>
      </c>
      <c r="R37" s="3" t="str">
        <f ca="1">IFERROR(textbefore(Raw_Data!R37," / "),Raw_Data!R37)</f>
        <v>Severely / Beaucoup</v>
      </c>
      <c r="S37" s="3" t="str">
        <f ca="1">IFERROR(textbefore(Raw_Data!S37," / "),Raw_Data!S37)</f>
        <v>Yes / Oui</v>
      </c>
      <c r="T37" s="3" t="str">
        <f ca="1">IFERROR(textbefore(Raw_Data!T37," / "),Raw_Data!T37)</f>
        <v>Yes / Oui</v>
      </c>
      <c r="U37" s="3" t="str">
        <f ca="1">IFERROR(textbefore(Raw_Data!U37," / "),Raw_Data!U37)</f>
        <v>Once a day / Une fois par jour</v>
      </c>
      <c r="V37" s="3" t="str">
        <f ca="1">IFERROR(textbefore(Raw_Data!V37," / "),Raw_Data!V37)</f>
        <v>Yes / Oui</v>
      </c>
      <c r="W37" s="3" t="str">
        <f ca="1">IFERROR(textbefore(Raw_Data!W37," / "),Raw_Data!W37)</f>
        <v>Privacy / ConfidentialitÃ©;Battery usage / Batterie;Data usage / Consommation de donnÃ©es;Security / SÃ©curitÃ©</v>
      </c>
    </row>
    <row r="38" spans="1:23" ht="24.75" customHeight="1" x14ac:dyDescent="0.35">
      <c r="A38" s="3" t="str">
        <f>Raw_Data!A38</f>
        <v>2026/04/24 9:10:55 AM GMT+1</v>
      </c>
      <c r="B38" s="3" t="str">
        <f>Raw_Data!B38</f>
        <v>thelmamarleyndayinu@gmail.com</v>
      </c>
      <c r="C38" s="3" t="str">
        <f ca="1">IFERROR(textbefore(Raw_Data!C38," / "),Raw_Data!C38)</f>
        <v>MTN;Orange</v>
      </c>
      <c r="D38" s="3" t="str">
        <f ca="1">IFERROR(textbefore(Raw_Data!D38," / "),Raw_Data!D38)</f>
        <v>Southwest Region</v>
      </c>
      <c r="E38" s="3" t="str">
        <f ca="1">IFERROR(textbefore(Raw_Data!E38," / "),Raw_Data!E38)</f>
        <v>Android</v>
      </c>
      <c r="F38" s="3" t="str">
        <f ca="1">IFERROR(textbefore(Raw_Data!F38," / "),Raw_Data!F38)</f>
        <v>15-20</v>
      </c>
      <c r="G38" s="3" t="str">
        <f ca="1">IFERROR(textbefore(textbefore(Raw_Data!G38,";")," / "),IFERROR(textbefore(Raw_Data!G38," / "),Raw_Data!G38))</f>
        <v>Very often / TrÃ¨s souvent</v>
      </c>
      <c r="H38" s="3" t="str">
        <f ca="1">IFERROR(textbefore(Raw_Data!H38," / "),Raw_Data!H38)</f>
        <v>Social media / RÃ©seaux sociaux;Video streaming / VidÃ©o (YouTube, Netflix);Messaging / Messagerie (WhatsApp, etc.);Online classes/work / Cours ou travail en ligne;Browsing / Navigation</v>
      </c>
      <c r="I38" s="3" t="str">
        <f ca="1">IFERROR(textbefore(Raw_Data!I38," / "),Raw_Data!I38)</f>
        <v>Poor / Mauvaise</v>
      </c>
      <c r="J38" s="3">
        <f>Raw_Data!J38</f>
        <v>3</v>
      </c>
      <c r="K38" s="3" t="str">
        <f ca="1">IFERROR(textbefore(Raw_Data!K38," / "),Raw_Data!K38)</f>
        <v>Average / Moyenne</v>
      </c>
      <c r="L38" s="3" t="str">
        <f ca="1">IFERROR(textbefore(Raw_Data!L38," / "),Raw_Data!L38)</f>
        <v>Often / Souvent</v>
      </c>
      <c r="M38" s="3" t="str">
        <f ca="1">IFERROR(textbefore(Raw_Data!M38," / "),Raw_Data!M38)</f>
        <v>Slow internet / Internet lent;No signal / Pas de rÃ©seau;Poor call quality / Mauvaise qualitÃ© dâ€™appel;Network outages / Pannes rÃ©seau</v>
      </c>
      <c r="N38" s="3" t="str">
        <f ca="1">IFERROR(textbefore(Raw_Data!N38," / "),Raw_Data!N38)</f>
        <v>Often / Souvent</v>
      </c>
      <c r="O38" s="3" t="str">
        <f ca="1">IFERROR(textbefore(Raw_Data!O38," / "),Raw_Data!O38)</f>
        <v>Afternoon / AprÃ¨s-midi</v>
      </c>
      <c r="P38" s="3" t="str">
        <f ca="1">IFERROR(textbefore(Raw_Data!P38," / "),Raw_Data!P38)</f>
        <v>School/Work / Ã‰cole/Travail;On the road / En dÃ©placement</v>
      </c>
      <c r="Q38" s="3" t="str">
        <f ca="1">IFERROR(textbefore(Raw_Data!Q38," / "),Raw_Data!Q38)</f>
        <v>Moderate / Moyen</v>
      </c>
      <c r="R38" s="3" t="str">
        <f ca="1">IFERROR(textbefore(Raw_Data!R38," / "),Raw_Data!R38)</f>
        <v>Moderately / Moyennement</v>
      </c>
      <c r="S38" s="3" t="str">
        <f ca="1">IFERROR(textbefore(Raw_Data!S38," / "),Raw_Data!S38)</f>
        <v>Yes / Oui</v>
      </c>
      <c r="T38" s="3" t="str">
        <f ca="1">IFERROR(textbefore(Raw_Data!T38," / "),Raw_Data!T38)</f>
        <v>Yes / Oui</v>
      </c>
      <c r="U38" s="3" t="str">
        <f ca="1">IFERROR(textbefore(Raw_Data!U38," / "),Raw_Data!U38)</f>
        <v>Every time / Ã€ chaque fois</v>
      </c>
      <c r="V38" s="3" t="str">
        <f ca="1">IFERROR(textbefore(Raw_Data!V38," / "),Raw_Data!V38)</f>
        <v>Yes / Oui</v>
      </c>
      <c r="W38" s="3" t="str">
        <f ca="1">IFERROR(textbefore(Raw_Data!W38," / "),Raw_Data!W38)</f>
        <v>Privacy / ConfidentialitÃ©;Battery usage / Batterie;Data usage / Consommation de donnÃ©es;Security / SÃ©curitÃ©</v>
      </c>
    </row>
    <row r="39" spans="1:23" ht="24.75" customHeight="1" x14ac:dyDescent="0.35">
      <c r="A39" s="3" t="str">
        <f>Raw_Data!A39</f>
        <v>2026/04/24 9:15:06 AM GMT+1</v>
      </c>
      <c r="B39" s="3" t="str">
        <f>Raw_Data!B39</f>
        <v>joyceani2005@gmail.com</v>
      </c>
      <c r="C39" s="3" t="str">
        <f ca="1">IFERROR(textbefore(Raw_Data!C39," / "),Raw_Data!C39)</f>
        <v>MTN</v>
      </c>
      <c r="D39" s="3" t="str">
        <f ca="1">IFERROR(textbefore(Raw_Data!D39," / "),Raw_Data!D39)</f>
        <v>Southwest Region</v>
      </c>
      <c r="E39" s="3" t="str">
        <f ca="1">IFERROR(textbefore(Raw_Data!E39," / "),Raw_Data!E39)</f>
        <v>Android</v>
      </c>
      <c r="F39" s="3" t="str">
        <f ca="1">IFERROR(textbefore(Raw_Data!F39," / "),Raw_Data!F39)</f>
        <v>15-20</v>
      </c>
      <c r="G39" s="3" t="str">
        <f ca="1">IFERROR(textbefore(textbefore(Raw_Data!G39,";")," / "),IFERROR(textbefore(Raw_Data!G39," / "),Raw_Data!G39))</f>
        <v>Very often / TrÃ¨s souvent</v>
      </c>
      <c r="H39" s="3" t="str">
        <f ca="1">IFERROR(textbefore(Raw_Data!H39," / "),Raw_Data!H39)</f>
        <v>Social media / RÃ©seaux sociaux;Video streaming / VidÃ©o (YouTube, Netflix);Messaging / Messagerie (WhatsApp, etc.);Online classes/work / Cours ou travail en ligne</v>
      </c>
      <c r="I39" s="3" t="str">
        <f ca="1">IFERROR(textbefore(Raw_Data!I39," / "),Raw_Data!I39)</f>
        <v>Average / Moyenne</v>
      </c>
      <c r="J39" s="3">
        <f>Raw_Data!J39</f>
        <v>3</v>
      </c>
      <c r="K39" s="3" t="str">
        <f ca="1">IFERROR(textbefore(Raw_Data!K39," / "),Raw_Data!K39)</f>
        <v>Average / Moyenne</v>
      </c>
      <c r="L39" s="3" t="str">
        <f ca="1">IFERROR(textbefore(Raw_Data!L39," / "),Raw_Data!L39)</f>
        <v>Rarely / Rarement</v>
      </c>
      <c r="M39" s="3" t="str">
        <f ca="1">IFERROR(textbefore(Raw_Data!M39," / "),Raw_Data!M39)</f>
        <v>Slow internet / Internet lent</v>
      </c>
      <c r="N39" s="3" t="str">
        <f ca="1">IFERROR(textbefore(Raw_Data!N39," / "),Raw_Data!N39)</f>
        <v>Very often / TrÃ¨s souvent</v>
      </c>
      <c r="O39" s="3" t="str">
        <f ca="1">IFERROR(textbefore(Raw_Data!O39," / "),Raw_Data!O39)</f>
        <v>Afternoon / AprÃ¨s-midi</v>
      </c>
      <c r="P39" s="3" t="str">
        <f ca="1">IFERROR(textbefore(Raw_Data!P39," / "),Raw_Data!P39)</f>
        <v>School/Work / Ã‰cole/Travail;Everywhere / Partout</v>
      </c>
      <c r="Q39" s="3" t="str">
        <f ca="1">IFERROR(textbefore(Raw_Data!Q39," / "),Raw_Data!Q39)</f>
        <v>Moderate / Moyen</v>
      </c>
      <c r="R39" s="3" t="str">
        <f ca="1">IFERROR(textbefore(Raw_Data!R39," / "),Raw_Data!R39)</f>
        <v>Moderately / Moyennement</v>
      </c>
      <c r="S39" s="3" t="str">
        <f ca="1">IFERROR(textbefore(Raw_Data!S39," / "),Raw_Data!S39)</f>
        <v>Yes / Oui</v>
      </c>
      <c r="T39" s="3" t="str">
        <f ca="1">IFERROR(textbefore(Raw_Data!T39," / "),Raw_Data!T39)</f>
        <v>Yes / Oui</v>
      </c>
      <c r="U39" s="3" t="str">
        <f ca="1">IFERROR(textbefore(Raw_Data!U39," / "),Raw_Data!U39)</f>
        <v>Only when there is a problem / Seulement en cas de problÃ¨me</v>
      </c>
      <c r="V39" s="3" t="str">
        <f ca="1">IFERROR(textbefore(Raw_Data!V39," / "),Raw_Data!V39)</f>
        <v>Yes / Oui</v>
      </c>
      <c r="W39" s="3" t="str">
        <f ca="1">IFERROR(textbefore(Raw_Data!W39," / "),Raw_Data!W39)</f>
        <v>Privacy / ConfidentialitÃ©;Data usage / Consommation de donnÃ©es;Security / SÃ©curitÃ©</v>
      </c>
    </row>
    <row r="40" spans="1:23" ht="24.75" customHeight="1" x14ac:dyDescent="0.35">
      <c r="A40" s="3" t="str">
        <f>Raw_Data!A40</f>
        <v>2026/04/24 9:15:18 AM GMT+1</v>
      </c>
      <c r="B40" s="3" t="str">
        <f>Raw_Data!B40</f>
        <v>calvintando222@gmail.com</v>
      </c>
      <c r="C40" s="3" t="str">
        <f ca="1">IFERROR(textbefore(Raw_Data!C40," / "),Raw_Data!C40)</f>
        <v>MTN</v>
      </c>
      <c r="D40" s="3" t="str">
        <f ca="1">IFERROR(textbefore(Raw_Data!D40," / "),Raw_Data!D40)</f>
        <v>Southwest Region</v>
      </c>
      <c r="E40" s="3" t="str">
        <f ca="1">IFERROR(textbefore(Raw_Data!E40," / "),Raw_Data!E40)</f>
        <v>Android</v>
      </c>
      <c r="F40" s="3" t="str">
        <f ca="1">IFERROR(textbefore(Raw_Data!F40," / "),Raw_Data!F40)</f>
        <v>20-25</v>
      </c>
      <c r="G40" s="3" t="str">
        <f ca="1">IFERROR(textbefore(textbefore(Raw_Data!G40,";")," / "),IFERROR(textbefore(Raw_Data!G40," / "),Raw_Data!G40))</f>
        <v>Very often / TrÃ¨s souvent</v>
      </c>
      <c r="H40" s="3" t="str">
        <f ca="1">IFERROR(textbefore(Raw_Data!H40," / "),Raw_Data!H40)</f>
        <v>Social media / RÃ©seaux sociaux;Messaging / Messagerie (WhatsApp, etc.);Online classes/work / Cours ou travail en ligne;Browsing / Navigation</v>
      </c>
      <c r="I40" s="3" t="str">
        <f ca="1">IFERROR(textbefore(Raw_Data!I40," / "),Raw_Data!I40)</f>
        <v>Average / Moyenne</v>
      </c>
      <c r="J40" s="3">
        <f>Raw_Data!J40</f>
        <v>2</v>
      </c>
      <c r="K40" s="3" t="str">
        <f ca="1">IFERROR(textbefore(Raw_Data!K40," / "),Raw_Data!K40)</f>
        <v>Average / Moyenne</v>
      </c>
      <c r="L40" s="3" t="str">
        <f ca="1">IFERROR(textbefore(Raw_Data!L40," / "),Raw_Data!L40)</f>
        <v>Often / Souvent</v>
      </c>
      <c r="M40" s="3" t="str">
        <f ca="1">IFERROR(textbefore(Raw_Data!M40," / "),Raw_Data!M40)</f>
        <v>Slow internet / Internet lent;Poor call quality / Mauvaise qualitÃ© dâ€™appel;Network outages / Pannes rÃ©seau</v>
      </c>
      <c r="N40" s="3" t="str">
        <f ca="1">IFERROR(textbefore(Raw_Data!N40," / "),Raw_Data!N40)</f>
        <v>Often / Souvent;Sometimes / Parfois</v>
      </c>
      <c r="O40" s="3" t="str">
        <f ca="1">IFERROR(textbefore(Raw_Data!O40," / "),Raw_Data!O40)</f>
        <v>Evening / Soir</v>
      </c>
      <c r="P40" s="3" t="str">
        <f ca="1">IFERROR(textbefore(Raw_Data!P40," / "),Raw_Data!P40)</f>
        <v>School/Work / Ã‰cole/Travail;On the road / En dÃ©placement;Everywhere / Partout</v>
      </c>
      <c r="Q40" s="3" t="str">
        <f ca="1">IFERROR(textbefore(Raw_Data!Q40," / "),Raw_Data!Q40)</f>
        <v>Moderate / Moyen</v>
      </c>
      <c r="R40" s="3" t="str">
        <f ca="1">IFERROR(textbefore(Raw_Data!R40," / "),Raw_Data!R40)</f>
        <v>Severely / Beaucoup</v>
      </c>
      <c r="S40" s="3" t="str">
        <f ca="1">IFERROR(textbefore(Raw_Data!S40," / "),Raw_Data!S40)</f>
        <v>Yes / Oui</v>
      </c>
      <c r="T40" s="3" t="str">
        <f ca="1">IFERROR(textbefore(Raw_Data!T40," / "),Raw_Data!T40)</f>
        <v>Yes / Oui</v>
      </c>
      <c r="U40" s="3" t="str">
        <f ca="1">IFERROR(textbefore(Raw_Data!U40," / "),Raw_Data!U40)</f>
        <v>Only when there is a problem / Seulement en cas de problÃ¨me</v>
      </c>
      <c r="V40" s="3" t="str">
        <f ca="1">IFERROR(textbefore(Raw_Data!V40," / "),Raw_Data!V40)</f>
        <v>Yes / Oui</v>
      </c>
      <c r="W40" s="3" t="str">
        <f ca="1">IFERROR(textbefore(Raw_Data!W40," / "),Raw_Data!W40)</f>
        <v>Privacy / ConfidentialitÃ©</v>
      </c>
    </row>
    <row r="41" spans="1:23" ht="24.75" customHeight="1" x14ac:dyDescent="0.35">
      <c r="A41" s="3" t="str">
        <f>Raw_Data!A41</f>
        <v>2026/04/24 9:18:52 AM GMT+1</v>
      </c>
      <c r="B41" s="3" t="str">
        <f>Raw_Data!B41</f>
        <v>mekemlaurice@gmail.com</v>
      </c>
      <c r="C41" s="3" t="str">
        <f ca="1">IFERROR(textbefore(Raw_Data!C41," / "),Raw_Data!C41)</f>
        <v>MTN</v>
      </c>
      <c r="D41" s="3" t="str">
        <f ca="1">IFERROR(textbefore(Raw_Data!D41," / "),Raw_Data!D41)</f>
        <v>Southwest Region</v>
      </c>
      <c r="E41" s="3" t="str">
        <f ca="1">IFERROR(textbefore(Raw_Data!E41," / "),Raw_Data!E41)</f>
        <v>iPhone</v>
      </c>
      <c r="F41" s="3" t="str">
        <f ca="1">IFERROR(textbefore(Raw_Data!F41," / "),Raw_Data!F41)</f>
        <v>20-25</v>
      </c>
      <c r="G41" s="3" t="str">
        <f ca="1">IFERROR(textbefore(textbefore(Raw_Data!G41,";")," / "),IFERROR(textbefore(Raw_Data!G41," / "),Raw_Data!G41))</f>
        <v>Very often / TrÃ¨s souvent</v>
      </c>
      <c r="H41" s="3" t="str">
        <f ca="1">IFERROR(textbefore(Raw_Data!H41," / "),Raw_Data!H41)</f>
        <v>Messaging / Messagerie (WhatsApp, etc.)</v>
      </c>
      <c r="I41" s="3" t="str">
        <f ca="1">IFERROR(textbefore(Raw_Data!I41," / "),Raw_Data!I41)</f>
        <v>Average / Moyenne</v>
      </c>
      <c r="J41" s="3">
        <f>Raw_Data!J41</f>
        <v>3</v>
      </c>
      <c r="K41" s="3" t="str">
        <f ca="1">IFERROR(textbefore(Raw_Data!K41," / "),Raw_Data!K41)</f>
        <v>Average / Moyenne</v>
      </c>
      <c r="L41" s="3" t="str">
        <f ca="1">IFERROR(textbefore(Raw_Data!L41," / "),Raw_Data!L41)</f>
        <v>Sometimes / Parfois</v>
      </c>
      <c r="M41" s="3" t="str">
        <f ca="1">IFERROR(textbefore(Raw_Data!M41," / "),Raw_Data!M41)</f>
        <v>Slow internet / Internet lent</v>
      </c>
      <c r="N41" s="3" t="str">
        <f ca="1">IFERROR(textbefore(Raw_Data!N41," / "),Raw_Data!N41)</f>
        <v>Sometimes / Parfois</v>
      </c>
      <c r="O41" s="3" t="str">
        <f ca="1">IFERROR(textbefore(Raw_Data!O41," / "),Raw_Data!O41)</f>
        <v>Night / Nuit</v>
      </c>
      <c r="P41" s="3" t="str">
        <f ca="1">IFERROR(textbefore(Raw_Data!P41," / "),Raw_Data!P41)</f>
        <v>Everywhere / Partout</v>
      </c>
      <c r="Q41" s="3" t="str">
        <f ca="1">IFERROR(textbefore(Raw_Data!Q41," / "),Raw_Data!Q41)</f>
        <v>Moderate / Moyen</v>
      </c>
      <c r="R41" s="3" t="str">
        <f ca="1">IFERROR(textbefore(Raw_Data!R41," / "),Raw_Data!R41)</f>
        <v>Severely / Beaucoup</v>
      </c>
      <c r="S41" s="3" t="str">
        <f ca="1">IFERROR(textbefore(Raw_Data!S41," / "),Raw_Data!S41)</f>
        <v>Yes / Oui</v>
      </c>
      <c r="T41" s="3" t="str">
        <f ca="1">IFERROR(textbefore(Raw_Data!T41," / "),Raw_Data!T41)</f>
        <v>Yes / Oui</v>
      </c>
      <c r="U41" s="3" t="str">
        <f ca="1">IFERROR(textbefore(Raw_Data!U41," / "),Raw_Data!U41)</f>
        <v>Only when there is a problem / Seulement en cas de problÃ¨me</v>
      </c>
      <c r="V41" s="3" t="str">
        <f ca="1">IFERROR(textbefore(Raw_Data!V41," / "),Raw_Data!V41)</f>
        <v>Yes / Oui</v>
      </c>
      <c r="W41" s="3" t="str">
        <f ca="1">IFERROR(textbefore(Raw_Data!W41," / "),Raw_Data!W41)</f>
        <v>Data usage / Consommation de donnÃ©es</v>
      </c>
    </row>
    <row r="42" spans="1:23" ht="24.75" customHeight="1" x14ac:dyDescent="0.35">
      <c r="A42" s="3" t="str">
        <f>Raw_Data!A42</f>
        <v>2026/04/24 9:20:27 AM GMT+1</v>
      </c>
      <c r="B42" s="3" t="str">
        <f>Raw_Data!B42</f>
        <v>yebitbryanche@gmail.com</v>
      </c>
      <c r="C42" s="3" t="str">
        <f ca="1">IFERROR(textbefore(Raw_Data!C42," / "),Raw_Data!C42)</f>
        <v>MTN;Orange</v>
      </c>
      <c r="D42" s="3" t="str">
        <f ca="1">IFERROR(textbefore(Raw_Data!D42," / "),Raw_Data!D42)</f>
        <v>Southwest Region</v>
      </c>
      <c r="E42" s="3" t="str">
        <f ca="1">IFERROR(textbefore(Raw_Data!E42," / "),Raw_Data!E42)</f>
        <v>Android</v>
      </c>
      <c r="F42" s="3" t="str">
        <f ca="1">IFERROR(textbefore(Raw_Data!F42," / "),Raw_Data!F42)</f>
        <v>20-25</v>
      </c>
      <c r="G42" s="3" t="str">
        <f ca="1">IFERROR(textbefore(textbefore(Raw_Data!G42,";")," / "),IFERROR(textbefore(Raw_Data!G42," / "),Raw_Data!G42))</f>
        <v>Very often / TrÃ¨s souvent</v>
      </c>
      <c r="H42" s="3" t="str">
        <f ca="1">IFERROR(textbefore(Raw_Data!H42," / "),Raw_Data!H42)</f>
        <v>Online classes/work / Cours ou travail en ligne</v>
      </c>
      <c r="I42" s="3" t="str">
        <f ca="1">IFERROR(textbefore(Raw_Data!I42," / "),Raw_Data!I42)</f>
        <v>Poor / Mauvaise</v>
      </c>
      <c r="J42" s="3">
        <f>Raw_Data!J42</f>
        <v>3</v>
      </c>
      <c r="K42" s="3" t="str">
        <f ca="1">IFERROR(textbefore(Raw_Data!K42," / "),Raw_Data!K42)</f>
        <v>Poor / Instable</v>
      </c>
      <c r="L42" s="3" t="str">
        <f ca="1">IFERROR(textbefore(Raw_Data!L42," / "),Raw_Data!L42)</f>
        <v>Often / Souvent</v>
      </c>
      <c r="M42" s="3" t="str">
        <f ca="1">IFERROR(textbefore(Raw_Data!M42," / "),Raw_Data!M42)</f>
        <v>Slow internet / Internet lent</v>
      </c>
      <c r="N42" s="3" t="str">
        <f ca="1">IFERROR(textbefore(Raw_Data!N42," / "),Raw_Data!N42)</f>
        <v>Often / Souvent</v>
      </c>
      <c r="O42" s="3" t="str">
        <f ca="1">IFERROR(textbefore(Raw_Data!O42," / "),Raw_Data!O42)</f>
        <v>Evening / Soir</v>
      </c>
      <c r="P42" s="3" t="str">
        <f ca="1">IFERROR(textbefore(Raw_Data!P42," / "),Raw_Data!P42)</f>
        <v>Everywhere / Partout</v>
      </c>
      <c r="Q42" s="3" t="str">
        <f ca="1">IFERROR(textbefore(Raw_Data!Q42," / "),Raw_Data!Q42)</f>
        <v>Moderate / Moyen</v>
      </c>
      <c r="R42" s="3" t="str">
        <f ca="1">IFERROR(textbefore(Raw_Data!R42," / "),Raw_Data!R42)</f>
        <v>Severely / Beaucoup</v>
      </c>
      <c r="S42" s="3" t="str">
        <f ca="1">IFERROR(textbefore(Raw_Data!S42," / "),Raw_Data!S42)</f>
        <v>Yes / Oui</v>
      </c>
      <c r="T42" s="3" t="str">
        <f ca="1">IFERROR(textbefore(Raw_Data!T42," / "),Raw_Data!T42)</f>
        <v>Yes / Oui</v>
      </c>
      <c r="U42" s="3" t="str">
        <f ca="1">IFERROR(textbefore(Raw_Data!U42," / "),Raw_Data!U42)</f>
        <v>Only when there is a problem / Seulement en cas de problÃ¨me</v>
      </c>
      <c r="V42" s="3" t="str">
        <f ca="1">IFERROR(textbefore(Raw_Data!V42," / "),Raw_Data!V42)</f>
        <v>No / Non</v>
      </c>
      <c r="W42" s="3" t="str">
        <f ca="1">IFERROR(textbefore(Raw_Data!W42," / "),Raw_Data!W42)</f>
        <v>None / Aucune</v>
      </c>
    </row>
    <row r="43" spans="1:23" ht="24.75" customHeight="1" x14ac:dyDescent="0.35">
      <c r="A43" s="3" t="str">
        <f>Raw_Data!A43</f>
        <v>2026/04/24 9:23:00 AM GMT+1</v>
      </c>
      <c r="B43" s="3" t="str">
        <f>Raw_Data!B43</f>
        <v>clintonmuluh28@gmail.com</v>
      </c>
      <c r="C43" s="3" t="str">
        <f ca="1">IFERROR(textbefore(Raw_Data!C43," / "),Raw_Data!C43)</f>
        <v>MTN</v>
      </c>
      <c r="D43" s="3" t="str">
        <f ca="1">IFERROR(textbefore(Raw_Data!D43," / "),Raw_Data!D43)</f>
        <v>Southwest Region</v>
      </c>
      <c r="E43" s="3" t="str">
        <f ca="1">IFERROR(textbefore(Raw_Data!E43," / "),Raw_Data!E43)</f>
        <v>iPhone</v>
      </c>
      <c r="F43" s="3" t="str">
        <f ca="1">IFERROR(textbefore(Raw_Data!F43," / "),Raw_Data!F43)</f>
        <v>20-25</v>
      </c>
      <c r="G43" s="3" t="str">
        <f ca="1">IFERROR(textbefore(textbefore(Raw_Data!G43,";")," / "),IFERROR(textbefore(Raw_Data!G43," / "),Raw_Data!G43))</f>
        <v>Often / Souvent</v>
      </c>
      <c r="H43" s="3" t="str">
        <f ca="1">IFERROR(textbefore(Raw_Data!H43," / "),Raw_Data!H43)</f>
        <v>Browsing / Navigation</v>
      </c>
      <c r="I43" s="3" t="str">
        <f ca="1">IFERROR(textbefore(Raw_Data!I43," / "),Raw_Data!I43)</f>
        <v>Good / Bonne</v>
      </c>
      <c r="J43" s="3">
        <f>Raw_Data!J43</f>
        <v>3</v>
      </c>
      <c r="K43" s="3" t="str">
        <f ca="1">IFERROR(textbefore(Raw_Data!K43," / "),Raw_Data!K43)</f>
        <v>Average / Moyenne</v>
      </c>
      <c r="L43" s="3" t="str">
        <f ca="1">IFERROR(textbefore(Raw_Data!L43," / "),Raw_Data!L43)</f>
        <v>Sometimes / Parfois</v>
      </c>
      <c r="M43" s="3" t="str">
        <f ca="1">IFERROR(textbefore(Raw_Data!M43," / "),Raw_Data!M43)</f>
        <v>Slow internet / Internet lent</v>
      </c>
      <c r="N43" s="3" t="str">
        <f ca="1">IFERROR(textbefore(Raw_Data!N43," / "),Raw_Data!N43)</f>
        <v>Sometimes / Parfois</v>
      </c>
      <c r="O43" s="3" t="str">
        <f ca="1">IFERROR(textbefore(Raw_Data!O43," / "),Raw_Data!O43)</f>
        <v>Evening / Soir</v>
      </c>
      <c r="P43" s="3" t="str">
        <f ca="1">IFERROR(textbefore(Raw_Data!P43," / "),Raw_Data!P43)</f>
        <v>School/Work / Ã‰cole/Travail</v>
      </c>
      <c r="Q43" s="3" t="str">
        <f ca="1">IFERROR(textbefore(Raw_Data!Q43," / "),Raw_Data!Q43)</f>
        <v>Moderate / Moyen</v>
      </c>
      <c r="R43" s="3" t="str">
        <f ca="1">IFERROR(textbefore(Raw_Data!R43," / "),Raw_Data!R43)</f>
        <v>Slightly / Un peu</v>
      </c>
      <c r="S43" s="3" t="str">
        <f ca="1">IFERROR(textbefore(Raw_Data!S43," / "),Raw_Data!S43)</f>
        <v>Yes / Oui</v>
      </c>
      <c r="T43" s="3" t="str">
        <f ca="1">IFERROR(textbefore(Raw_Data!T43," / "),Raw_Data!T43)</f>
        <v>Yes / Oui</v>
      </c>
      <c r="U43" s="3" t="str">
        <f ca="1">IFERROR(textbefore(Raw_Data!U43," / "),Raw_Data!U43)</f>
        <v>Only when there is a problem / Seulement en cas de problÃ¨me</v>
      </c>
      <c r="V43" s="3" t="str">
        <f ca="1">IFERROR(textbefore(Raw_Data!V43," / "),Raw_Data!V43)</f>
        <v>Yes / Oui</v>
      </c>
      <c r="W43" s="3" t="str">
        <f ca="1">IFERROR(textbefore(Raw_Data!W43," / "),Raw_Data!W43)</f>
        <v>Data usage / Consommation de donnÃ©es</v>
      </c>
    </row>
    <row r="44" spans="1:23" ht="24.75" customHeight="1" x14ac:dyDescent="0.35">
      <c r="A44" s="3" t="str">
        <f>Raw_Data!A44</f>
        <v>2026/04/24 9:31:00 AM GMT+1</v>
      </c>
      <c r="B44" s="3" t="str">
        <f>Raw_Data!B44</f>
        <v>machochicarine250@gmail.com</v>
      </c>
      <c r="C44" s="3" t="str">
        <f ca="1">IFERROR(textbefore(Raw_Data!C44," / "),Raw_Data!C44)</f>
        <v>MTN</v>
      </c>
      <c r="D44" s="3" t="str">
        <f ca="1">IFERROR(textbefore(Raw_Data!D44," / "),Raw_Data!D44)</f>
        <v>South Region</v>
      </c>
      <c r="E44" s="3" t="str">
        <f ca="1">IFERROR(textbefore(Raw_Data!E44," / "),Raw_Data!E44)</f>
        <v>Android</v>
      </c>
      <c r="F44" s="3" t="str">
        <f ca="1">IFERROR(textbefore(Raw_Data!F44," / "),Raw_Data!F44)</f>
        <v>20-25</v>
      </c>
      <c r="G44" s="3" t="str">
        <f ca="1">IFERROR(textbefore(textbefore(Raw_Data!G44,";")," / "),IFERROR(textbefore(Raw_Data!G44," / "),Raw_Data!G44))</f>
        <v>Often / Souvent</v>
      </c>
      <c r="H44" s="3" t="str">
        <f ca="1">IFERROR(textbefore(Raw_Data!H44," / "),Raw_Data!H44)</f>
        <v>Video streaming / VidÃ©o (YouTube, Netflix)</v>
      </c>
      <c r="I44" s="3" t="str">
        <f ca="1">IFERROR(textbefore(Raw_Data!I44," / "),Raw_Data!I44)</f>
        <v>Average / Moyenne</v>
      </c>
      <c r="J44" s="3">
        <f>Raw_Data!J44</f>
        <v>3</v>
      </c>
      <c r="K44" s="3" t="str">
        <f ca="1">IFERROR(textbefore(Raw_Data!K44," / "),Raw_Data!K44)</f>
        <v>Average / Moyenne</v>
      </c>
      <c r="L44" s="3" t="str">
        <f ca="1">IFERROR(textbefore(Raw_Data!L44," / "),Raw_Data!L44)</f>
        <v>Sometimes / Parfois</v>
      </c>
      <c r="M44" s="3" t="str">
        <f ca="1">IFERROR(textbefore(Raw_Data!M44," / "),Raw_Data!M44)</f>
        <v>Slow internet / Internet lent</v>
      </c>
      <c r="N44" s="3" t="str">
        <f ca="1">IFERROR(textbefore(Raw_Data!N44," / "),Raw_Data!N44)</f>
        <v>Sometimes / Parfois</v>
      </c>
      <c r="O44" s="3" t="str">
        <f ca="1">IFERROR(textbefore(Raw_Data!O44," / "),Raw_Data!O44)</f>
        <v>Night / Nuit</v>
      </c>
      <c r="P44" s="3" t="str">
        <f ca="1">IFERROR(textbefore(Raw_Data!P44," / "),Raw_Data!P44)</f>
        <v>School/Work / Ã‰cole/Travail</v>
      </c>
      <c r="Q44" s="3" t="str">
        <f ca="1">IFERROR(textbefore(Raw_Data!Q44," / "),Raw_Data!Q44)</f>
        <v>Weak / Faible</v>
      </c>
      <c r="R44" s="3" t="str">
        <f ca="1">IFERROR(textbefore(Raw_Data!R44," / "),Raw_Data!R44)</f>
        <v>Not at all / Pas du tout</v>
      </c>
      <c r="S44" s="3" t="str">
        <f ca="1">IFERROR(textbefore(Raw_Data!S44," / "),Raw_Data!S44)</f>
        <v>Yes / Oui</v>
      </c>
      <c r="T44" s="3" t="str">
        <f ca="1">IFERROR(textbefore(Raw_Data!T44," / "),Raw_Data!T44)</f>
        <v>Yes / Oui</v>
      </c>
      <c r="U44" s="3" t="str">
        <f ca="1">IFERROR(textbefore(Raw_Data!U44," / "),Raw_Data!U44)</f>
        <v>Every time / Ã€ chaque fois</v>
      </c>
      <c r="V44" s="3" t="str">
        <f ca="1">IFERROR(textbefore(Raw_Data!V44," / "),Raw_Data!V44)</f>
        <v>Yes / Oui</v>
      </c>
      <c r="W44" s="3" t="str">
        <f ca="1">IFERROR(textbefore(Raw_Data!W44," / "),Raw_Data!W44)</f>
        <v>Battery usage / Batterie</v>
      </c>
    </row>
    <row r="45" spans="1:23" ht="24.75" customHeight="1" x14ac:dyDescent="0.35">
      <c r="A45" s="3" t="str">
        <f>Raw_Data!A45</f>
        <v>2026/04/24 9:32:21 AM GMT+1</v>
      </c>
      <c r="B45" s="3" t="str">
        <f>Raw_Data!B45</f>
        <v>pompidoudiaden@gmail.com</v>
      </c>
      <c r="C45" s="3" t="str">
        <f ca="1">IFERROR(textbefore(Raw_Data!C45," / "),Raw_Data!C45)</f>
        <v>MTN</v>
      </c>
      <c r="D45" s="3" t="str">
        <f ca="1">IFERROR(textbefore(Raw_Data!D45," / "),Raw_Data!D45)</f>
        <v>Southwest Region</v>
      </c>
      <c r="E45" s="3" t="str">
        <f ca="1">IFERROR(textbefore(Raw_Data!E45," / "),Raw_Data!E45)</f>
        <v>Android</v>
      </c>
      <c r="F45" s="3" t="str">
        <f ca="1">IFERROR(textbefore(Raw_Data!F45," / "),Raw_Data!F45)</f>
        <v>20-25</v>
      </c>
      <c r="G45" s="3" t="str">
        <f ca="1">IFERROR(textbefore(textbefore(Raw_Data!G45,";")," / "),IFERROR(textbefore(Raw_Data!G45," / "),Raw_Data!G45))</f>
        <v>Very often / TrÃ¨s souvent</v>
      </c>
      <c r="H45" s="3" t="str">
        <f ca="1">IFERROR(textbefore(Raw_Data!H45," / "),Raw_Data!H45)</f>
        <v xml:space="preserve">Social media / RÃ©seaux sociaux;Online classes/work / Cours ou travail en ligne;Research and studies </v>
      </c>
      <c r="I45" s="3" t="str">
        <f ca="1">IFERROR(textbefore(Raw_Data!I45," / "),Raw_Data!I45)</f>
        <v>Very Poor / TrÃ¨s mauvaise</v>
      </c>
      <c r="J45" s="3">
        <f>Raw_Data!J45</f>
        <v>2</v>
      </c>
      <c r="K45" s="3" t="str">
        <f ca="1">IFERROR(textbefore(Raw_Data!K45," / "),Raw_Data!K45)</f>
        <v>Average / Moyenne</v>
      </c>
      <c r="L45" s="3" t="str">
        <f ca="1">IFERROR(textbefore(Raw_Data!L45," / "),Raw_Data!L45)</f>
        <v>Sometimes / Parfois</v>
      </c>
      <c r="M45" s="3" t="str">
        <f ca="1">IFERROR(textbefore(Raw_Data!M45," / "),Raw_Data!M45)</f>
        <v>Slow internet / Internet lent;Poor call quality / Mauvaise qualitÃ© dâ€™appel</v>
      </c>
      <c r="N45" s="3" t="str">
        <f ca="1">IFERROR(textbefore(Raw_Data!N45," / "),Raw_Data!N45)</f>
        <v>Often / Souvent</v>
      </c>
      <c r="O45" s="3" t="str">
        <f ca="1">IFERROR(textbefore(Raw_Data!O45," / "),Raw_Data!O45)</f>
        <v>Evening / Soir</v>
      </c>
      <c r="P45" s="3" t="str">
        <f ca="1">IFERROR(textbefore(Raw_Data!P45," / "),Raw_Data!P45)</f>
        <v>School/Work / Ã‰cole/Travail;On the road / En dÃ©placement</v>
      </c>
      <c r="Q45" s="3" t="str">
        <f ca="1">IFERROR(textbefore(Raw_Data!Q45," / "),Raw_Data!Q45)</f>
        <v>Moderate / Moyen</v>
      </c>
      <c r="R45" s="3" t="str">
        <f ca="1">IFERROR(textbefore(Raw_Data!R45," / "),Raw_Data!R45)</f>
        <v>Severely / Beaucoup</v>
      </c>
      <c r="S45" s="3" t="str">
        <f ca="1">IFERROR(textbefore(Raw_Data!S45," / "),Raw_Data!S45)</f>
        <v>Yes / Oui</v>
      </c>
      <c r="T45" s="3" t="str">
        <f ca="1">IFERROR(textbefore(Raw_Data!T45," / "),Raw_Data!T45)</f>
        <v>Yes / Oui</v>
      </c>
      <c r="U45" s="3" t="str">
        <f ca="1">IFERROR(textbefore(Raw_Data!U45," / "),Raw_Data!U45)</f>
        <v>Once a day / Une fois par jour</v>
      </c>
      <c r="V45" s="3" t="str">
        <f ca="1">IFERROR(textbefore(Raw_Data!V45," / "),Raw_Data!V45)</f>
        <v>No / Non</v>
      </c>
      <c r="W45" s="3" t="str">
        <f ca="1">IFERROR(textbefore(Raw_Data!W45," / "),Raw_Data!W45)</f>
        <v>Privacy / ConfidentialitÃ©</v>
      </c>
    </row>
    <row r="46" spans="1:23" ht="24.75" customHeight="1" x14ac:dyDescent="0.35">
      <c r="A46" s="3" t="str">
        <f>Raw_Data!A46</f>
        <v>2026/04/24 9:35:05 AM GMT+1</v>
      </c>
      <c r="B46" s="3" t="str">
        <f>Raw_Data!B46</f>
        <v>manplaulrich@gmail.com</v>
      </c>
      <c r="C46" s="3" t="str">
        <f ca="1">IFERROR(textbefore(Raw_Data!C46," / "),Raw_Data!C46)</f>
        <v>MTN;Orange</v>
      </c>
      <c r="D46" s="3" t="str">
        <f ca="1">IFERROR(textbefore(Raw_Data!D46," / "),Raw_Data!D46)</f>
        <v>Southwest Region</v>
      </c>
      <c r="E46" s="3" t="str">
        <f ca="1">IFERROR(textbefore(Raw_Data!E46," / "),Raw_Data!E46)</f>
        <v>Android</v>
      </c>
      <c r="F46" s="3" t="str">
        <f ca="1">IFERROR(textbefore(Raw_Data!F46," / "),Raw_Data!F46)</f>
        <v>20-25</v>
      </c>
      <c r="G46" s="3" t="str">
        <f ca="1">IFERROR(textbefore(textbefore(Raw_Data!G46,";")," / "),IFERROR(textbefore(Raw_Data!G46," / "),Raw_Data!G46))</f>
        <v>Very often / TrÃ¨s souvent</v>
      </c>
      <c r="H46" s="3" t="str">
        <f ca="1">IFERROR(textbefore(Raw_Data!H46," / "),Raw_Data!H46)</f>
        <v>Messaging / Messagerie (WhatsApp, etc.);Online classes/work / Cours ou travail en ligne;Browsing / Navigation</v>
      </c>
      <c r="I46" s="3" t="str">
        <f ca="1">IFERROR(textbefore(Raw_Data!I46," / "),Raw_Data!I46)</f>
        <v>Very Poor / TrÃ¨s mauvaise</v>
      </c>
      <c r="J46" s="3">
        <f>Raw_Data!J46</f>
        <v>1</v>
      </c>
      <c r="K46" s="3" t="str">
        <f ca="1">IFERROR(textbefore(Raw_Data!K46," / "),Raw_Data!K46)</f>
        <v>Very Poor / TrÃ¨s instable</v>
      </c>
      <c r="L46" s="3" t="str">
        <f ca="1">IFERROR(textbefore(Raw_Data!L46," / "),Raw_Data!L46)</f>
        <v>Always / Toujours</v>
      </c>
      <c r="M46" s="3" t="str">
        <f ca="1">IFERROR(textbefore(Raw_Data!M46," / "),Raw_Data!M46)</f>
        <v>Slow internet / Internet lent;Call drops / Coupures d'appel;No signal / Pas de rÃ©seau;Poor call quality / Mauvaise qualitÃ© dâ€™appel;Network outages / Pannes rÃ©seau</v>
      </c>
      <c r="N46" s="3" t="str">
        <f ca="1">IFERROR(textbefore(Raw_Data!N46," / "),Raw_Data!N46)</f>
        <v>Very often / TrÃ¨s souvent;Often / Souvent</v>
      </c>
      <c r="O46" s="3" t="str">
        <f ca="1">IFERROR(textbefore(Raw_Data!O46," / "),Raw_Data!O46)</f>
        <v>Afternoon / AprÃ¨s-midi</v>
      </c>
      <c r="P46" s="3" t="str">
        <f ca="1">IFERROR(textbefore(Raw_Data!P46," / "),Raw_Data!P46)</f>
        <v>School/Work / Ã‰cole/Travail;On the road / En dÃ©placement;Everywhere / Partout</v>
      </c>
      <c r="Q46" s="3" t="str">
        <f ca="1">IFERROR(textbefore(Raw_Data!Q46," / "),Raw_Data!Q46)</f>
        <v>Weak / Faible</v>
      </c>
      <c r="R46" s="3" t="str">
        <f ca="1">IFERROR(textbefore(Raw_Data!R46," / "),Raw_Data!R46)</f>
        <v>Severely / Beaucoup</v>
      </c>
      <c r="S46" s="3" t="str">
        <f ca="1">IFERROR(textbefore(Raw_Data!S46," / "),Raw_Data!S46)</f>
        <v>Yes / Oui</v>
      </c>
      <c r="T46" s="3" t="str">
        <f ca="1">IFERROR(textbefore(Raw_Data!T46," / "),Raw_Data!T46)</f>
        <v>Yes / Oui</v>
      </c>
      <c r="U46" s="3" t="str">
        <f ca="1">IFERROR(textbefore(Raw_Data!U46," / "),Raw_Data!U46)</f>
        <v>Once a day / Une fois par jour</v>
      </c>
      <c r="V46" s="3" t="str">
        <f ca="1">IFERROR(textbefore(Raw_Data!V46," / "),Raw_Data!V46)</f>
        <v>Yes / Oui</v>
      </c>
      <c r="W46" s="3" t="str">
        <f ca="1">IFERROR(textbefore(Raw_Data!W46," / "),Raw_Data!W46)</f>
        <v>Privacy / ConfidentialitÃ©;Battery usage / Batterie;Data usage / Consommation de donnÃ©es;Security / SÃ©curitÃ©</v>
      </c>
    </row>
    <row r="47" spans="1:23" ht="24.75" customHeight="1" x14ac:dyDescent="0.35">
      <c r="A47" s="3" t="str">
        <f>Raw_Data!A47</f>
        <v>2026/04/24 9:38:14 AM GMT+1</v>
      </c>
      <c r="B47" s="3" t="str">
        <f>Raw_Data!B47</f>
        <v>desmondmembo72@gmail.com</v>
      </c>
      <c r="C47" s="3" t="str">
        <f ca="1">IFERROR(textbefore(Raw_Data!C47," / "),Raw_Data!C47)</f>
        <v>MTN</v>
      </c>
      <c r="D47" s="3" t="str">
        <f ca="1">IFERROR(textbefore(Raw_Data!D47," / "),Raw_Data!D47)</f>
        <v>Southwest Region</v>
      </c>
      <c r="E47" s="3" t="str">
        <f ca="1">IFERROR(textbefore(Raw_Data!E47," / "),Raw_Data!E47)</f>
        <v>iPhone</v>
      </c>
      <c r="F47" s="3" t="str">
        <f ca="1">IFERROR(textbefore(Raw_Data!F47," / "),Raw_Data!F47)</f>
        <v>20-25</v>
      </c>
      <c r="G47" s="3" t="str">
        <f ca="1">IFERROR(textbefore(textbefore(Raw_Data!G47,";")," / "),IFERROR(textbefore(Raw_Data!G47," / "),Raw_Data!G47))</f>
        <v>Very often / TrÃ¨s souvent</v>
      </c>
      <c r="H47" s="3" t="str">
        <f ca="1">IFERROR(textbefore(Raw_Data!H47," / "),Raw_Data!H47)</f>
        <v>Social media / RÃ©seaux sociaux;Video streaming / VidÃ©o (YouTube, Netflix);Messaging / Messagerie (WhatsApp, etc.);Online classes/work / Cours ou travail en ligne;Gaming / Jeux;Browsing / Navigation</v>
      </c>
      <c r="I47" s="3" t="str">
        <f ca="1">IFERROR(textbefore(Raw_Data!I47," / "),Raw_Data!I47)</f>
        <v>Average / Moyenne</v>
      </c>
      <c r="J47" s="3">
        <f>Raw_Data!J47</f>
        <v>3</v>
      </c>
      <c r="K47" s="3" t="str">
        <f ca="1">IFERROR(textbefore(Raw_Data!K47," / "),Raw_Data!K47)</f>
        <v>Average / Moyenne</v>
      </c>
      <c r="L47" s="3" t="str">
        <f ca="1">IFERROR(textbefore(Raw_Data!L47," / "),Raw_Data!L47)</f>
        <v>Sometimes / Parfois</v>
      </c>
      <c r="M47" s="3" t="str">
        <f ca="1">IFERROR(textbefore(Raw_Data!M47," / "),Raw_Data!M47)</f>
        <v>Slow internet / Internet lent</v>
      </c>
      <c r="N47" s="3" t="str">
        <f ca="1">IFERROR(textbefore(Raw_Data!N47," / "),Raw_Data!N47)</f>
        <v>Very often / TrÃ¨s souvent</v>
      </c>
      <c r="O47" s="3" t="str">
        <f ca="1">IFERROR(textbefore(Raw_Data!O47," / "),Raw_Data!O47)</f>
        <v>Afternoon / AprÃ¨s-midi</v>
      </c>
      <c r="P47" s="3" t="str">
        <f ca="1">IFERROR(textbefore(Raw_Data!P47," / "),Raw_Data!P47)</f>
        <v>Everywhere / Partout</v>
      </c>
      <c r="Q47" s="3" t="str">
        <f ca="1">IFERROR(textbefore(Raw_Data!Q47," / "),Raw_Data!Q47)</f>
        <v>Weak / Faible</v>
      </c>
      <c r="R47" s="3" t="str">
        <f ca="1">IFERROR(textbefore(Raw_Data!R47," / "),Raw_Data!R47)</f>
        <v>Moderately / Moyennement</v>
      </c>
      <c r="S47" s="3" t="str">
        <f ca="1">IFERROR(textbefore(Raw_Data!S47," / "),Raw_Data!S47)</f>
        <v>Yes / Oui</v>
      </c>
      <c r="T47" s="3" t="str">
        <f ca="1">IFERROR(textbefore(Raw_Data!T47," / "),Raw_Data!T47)</f>
        <v>Yes / Oui</v>
      </c>
      <c r="U47" s="3" t="str">
        <f ca="1">IFERROR(textbefore(Raw_Data!U47," / "),Raw_Data!U47)</f>
        <v>Once a day / Une fois par jour</v>
      </c>
      <c r="V47" s="3" t="str">
        <f ca="1">IFERROR(textbefore(Raw_Data!V47," / "),Raw_Data!V47)</f>
        <v>Yes / Oui</v>
      </c>
      <c r="W47" s="3" t="str">
        <f ca="1">IFERROR(textbefore(Raw_Data!W47," / "),Raw_Data!W47)</f>
        <v>Privacy / ConfidentialitÃ©;Security / SÃ©curitÃ©</v>
      </c>
    </row>
    <row r="48" spans="1:23" ht="24.75" customHeight="1" x14ac:dyDescent="0.35">
      <c r="A48" s="3" t="str">
        <f>Raw_Data!A48</f>
        <v>2026/04/24 9:42:23 AM GMT+1</v>
      </c>
      <c r="B48" s="3" t="str">
        <f>Raw_Data!B48</f>
        <v>atemnkengthelma267@gmail.com</v>
      </c>
      <c r="C48" s="3" t="str">
        <f ca="1">IFERROR(textbefore(Raw_Data!C48," / "),Raw_Data!C48)</f>
        <v>MTN</v>
      </c>
      <c r="D48" s="3" t="str">
        <f ca="1">IFERROR(textbefore(Raw_Data!D48," / "),Raw_Data!D48)</f>
        <v>Southwest Region</v>
      </c>
      <c r="E48" s="3" t="str">
        <f ca="1">IFERROR(textbefore(Raw_Data!E48," / "),Raw_Data!E48)</f>
        <v>Android</v>
      </c>
      <c r="F48" s="3" t="str">
        <f ca="1">IFERROR(textbefore(Raw_Data!F48," / "),Raw_Data!F48)</f>
        <v>15-20</v>
      </c>
      <c r="G48" s="3" t="str">
        <f ca="1">IFERROR(textbefore(textbefore(Raw_Data!G48,";")," / "),IFERROR(textbefore(Raw_Data!G48," / "),Raw_Data!G48))</f>
        <v>Very often / TrÃ¨s souvent</v>
      </c>
      <c r="H48" s="3" t="str">
        <f ca="1">IFERROR(textbefore(Raw_Data!H48," / "),Raw_Data!H48)</f>
        <v>Social media / RÃ©seaux sociaux;Online classes/work / Cours ou travail en ligne</v>
      </c>
      <c r="I48" s="3" t="str">
        <f ca="1">IFERROR(textbefore(Raw_Data!I48," / "),Raw_Data!I48)</f>
        <v>Average / Moyenne</v>
      </c>
      <c r="J48" s="3">
        <f>Raw_Data!J48</f>
        <v>1</v>
      </c>
      <c r="K48" s="3" t="str">
        <f ca="1">IFERROR(textbefore(Raw_Data!K48," / "),Raw_Data!K48)</f>
        <v>Average / Moyenne</v>
      </c>
      <c r="L48" s="3" t="str">
        <f ca="1">IFERROR(textbefore(Raw_Data!L48," / "),Raw_Data!L48)</f>
        <v>Sometimes / Parfois</v>
      </c>
      <c r="M48" s="3" t="str">
        <f ca="1">IFERROR(textbefore(Raw_Data!M48," / "),Raw_Data!M48)</f>
        <v>Slow internet / Internet lent;Poor call quality / Mauvaise qualitÃ© dâ€™appel</v>
      </c>
      <c r="N48" s="3" t="str">
        <f ca="1">IFERROR(textbefore(Raw_Data!N48," / "),Raw_Data!N48)</f>
        <v>Sometimes / Parfois</v>
      </c>
      <c r="O48" s="3" t="str">
        <f ca="1">IFERROR(textbefore(Raw_Data!O48," / "),Raw_Data!O48)</f>
        <v>Afternoon / AprÃ¨s-midi</v>
      </c>
      <c r="P48" s="3" t="str">
        <f ca="1">IFERROR(textbefore(Raw_Data!P48," / "),Raw_Data!P48)</f>
        <v>On the road / En dÃ©placement</v>
      </c>
      <c r="Q48" s="3" t="str">
        <f ca="1">IFERROR(textbefore(Raw_Data!Q48," / "),Raw_Data!Q48)</f>
        <v>Moderate / Moyen</v>
      </c>
      <c r="R48" s="3" t="str">
        <f ca="1">IFERROR(textbefore(Raw_Data!R48," / "),Raw_Data!R48)</f>
        <v>Severely / Beaucoup</v>
      </c>
      <c r="S48" s="3" t="str">
        <f ca="1">IFERROR(textbefore(Raw_Data!S48," / "),Raw_Data!S48)</f>
        <v>Yes / Oui</v>
      </c>
      <c r="T48" s="3" t="str">
        <f ca="1">IFERROR(textbefore(Raw_Data!T48," / "),Raw_Data!T48)</f>
        <v>Yes / Oui</v>
      </c>
      <c r="U48" s="3" t="str">
        <f ca="1">IFERROR(textbefore(Raw_Data!U48," / "),Raw_Data!U48)</f>
        <v>Once a day / Une fois par jour</v>
      </c>
      <c r="V48" s="3" t="str">
        <f ca="1">IFERROR(textbefore(Raw_Data!V48," / "),Raw_Data!V48)</f>
        <v>Yes / Oui</v>
      </c>
      <c r="W48" s="3" t="str">
        <f ca="1">IFERROR(textbefore(Raw_Data!W48," / "),Raw_Data!W48)</f>
        <v>Data usage / Consommation de donnÃ©es</v>
      </c>
    </row>
    <row r="49" spans="1:23" ht="24.75" customHeight="1" x14ac:dyDescent="0.35">
      <c r="A49" s="3" t="str">
        <f>Raw_Data!A49</f>
        <v>2026/04/24 9:44:05 AM GMT+1</v>
      </c>
      <c r="B49" s="3" t="str">
        <f>Raw_Data!B49</f>
        <v>swirrifofang7@gmail.com</v>
      </c>
      <c r="C49" s="3" t="str">
        <f ca="1">IFERROR(textbefore(Raw_Data!C49," / "),Raw_Data!C49)</f>
        <v>Camtel</v>
      </c>
      <c r="D49" s="3" t="str">
        <f ca="1">IFERROR(textbefore(Raw_Data!D49," / "),Raw_Data!D49)</f>
        <v>South Region</v>
      </c>
      <c r="E49" s="3" t="str">
        <f ca="1">IFERROR(textbefore(Raw_Data!E49," / "),Raw_Data!E49)</f>
        <v>iPhone</v>
      </c>
      <c r="F49" s="3" t="str">
        <f ca="1">IFERROR(textbefore(Raw_Data!F49," / "),Raw_Data!F49)</f>
        <v>20-25</v>
      </c>
      <c r="G49" s="3" t="str">
        <f ca="1">IFERROR(textbefore(textbefore(Raw_Data!G49,";")," / "),IFERROR(textbefore(Raw_Data!G49," / "),Raw_Data!G49))</f>
        <v>Very often / TrÃ¨s souvent</v>
      </c>
      <c r="H49" s="3" t="str">
        <f ca="1">IFERROR(textbefore(Raw_Data!H49," / "),Raw_Data!H49)</f>
        <v>Social media / RÃ©seaux sociaux;Video streaming / VidÃ©o (YouTube, Netflix);Messaging / Messagerie (WhatsApp, etc.);Online classes/work / Cours ou travail en ligne;Browsing / Navigation</v>
      </c>
      <c r="I49" s="3" t="str">
        <f ca="1">IFERROR(textbefore(Raw_Data!I49," / "),Raw_Data!I49)</f>
        <v>Very Poor / TrÃ¨s mauvaise</v>
      </c>
      <c r="J49" s="3">
        <f>Raw_Data!J49</f>
        <v>2</v>
      </c>
      <c r="K49" s="3" t="str">
        <f ca="1">IFERROR(textbefore(Raw_Data!K49," / "),Raw_Data!K49)</f>
        <v>Poor / Instable</v>
      </c>
      <c r="L49" s="3" t="str">
        <f ca="1">IFERROR(textbefore(Raw_Data!L49," / "),Raw_Data!L49)</f>
        <v>Often / Souvent</v>
      </c>
      <c r="M49" s="3" t="str">
        <f ca="1">IFERROR(textbefore(Raw_Data!M49," / "),Raw_Data!M49)</f>
        <v>Slow internet / Internet lent;Call drops / Coupures d'appel;No signal / Pas de rÃ©seau;Network outages / Pannes rÃ©seau</v>
      </c>
      <c r="N49" s="3" t="str">
        <f ca="1">IFERROR(textbefore(Raw_Data!N49," / "),Raw_Data!N49)</f>
        <v>Very often / TrÃ¨s souvent;Often / Souvent</v>
      </c>
      <c r="O49" s="3" t="str">
        <f ca="1">IFERROR(textbefore(Raw_Data!O49," / "),Raw_Data!O49)</f>
        <v>Afternoon / AprÃ¨s-midi</v>
      </c>
      <c r="P49" s="3" t="str">
        <f ca="1">IFERROR(textbefore(Raw_Data!P49," / "),Raw_Data!P49)</f>
        <v>School/Work / Ã‰cole/Travail;On the road / En dÃ©placement</v>
      </c>
      <c r="Q49" s="3" t="str">
        <f ca="1">IFERROR(textbefore(Raw_Data!Q49," / "),Raw_Data!Q49)</f>
        <v>Moderate / Moyen</v>
      </c>
      <c r="R49" s="3" t="str">
        <f ca="1">IFERROR(textbefore(Raw_Data!R49," / "),Raw_Data!R49)</f>
        <v>Moderately / Moyennement</v>
      </c>
      <c r="S49" s="3" t="str">
        <f ca="1">IFERROR(textbefore(Raw_Data!S49," / "),Raw_Data!S49)</f>
        <v>Yes / Oui</v>
      </c>
      <c r="T49" s="3" t="str">
        <f ca="1">IFERROR(textbefore(Raw_Data!T49," / "),Raw_Data!T49)</f>
        <v>Yes / Oui</v>
      </c>
      <c r="U49" s="3" t="str">
        <f ca="1">IFERROR(textbefore(Raw_Data!U49," / "),Raw_Data!U49)</f>
        <v>Every time / Ã€ chaque fois;Once a day / Une fois par jour</v>
      </c>
      <c r="V49" s="3" t="str">
        <f ca="1">IFERROR(textbefore(Raw_Data!V49," / "),Raw_Data!V49)</f>
        <v>Yes / Oui</v>
      </c>
      <c r="W49" s="3" t="str">
        <f ca="1">IFERROR(textbefore(Raw_Data!W49," / "),Raw_Data!W49)</f>
        <v>Privacy / ConfidentialitÃ©;Battery usage / Batterie;Data usage / Consommation de donnÃ©es;Security / SÃ©curitÃ©</v>
      </c>
    </row>
    <row r="50" spans="1:23" ht="24.75" customHeight="1" x14ac:dyDescent="0.35">
      <c r="A50" s="3" t="str">
        <f>Raw_Data!A50</f>
        <v>2026/04/24 9:45:55 AM GMT+1</v>
      </c>
      <c r="B50" s="3" t="str">
        <f>Raw_Data!B50</f>
        <v>nkremy6@gmail.com</v>
      </c>
      <c r="C50" s="3" t="str">
        <f ca="1">IFERROR(textbefore(Raw_Data!C50," / "),Raw_Data!C50)</f>
        <v>MTN;Orange</v>
      </c>
      <c r="D50" s="3" t="str">
        <f ca="1">IFERROR(textbefore(Raw_Data!D50," / "),Raw_Data!D50)</f>
        <v>Southwest Region</v>
      </c>
      <c r="E50" s="3" t="str">
        <f ca="1">IFERROR(textbefore(Raw_Data!E50," / "),Raw_Data!E50)</f>
        <v>Android</v>
      </c>
      <c r="F50" s="3" t="str">
        <f ca="1">IFERROR(textbefore(Raw_Data!F50," / "),Raw_Data!F50)</f>
        <v>20-25</v>
      </c>
      <c r="G50" s="3" t="str">
        <f ca="1">IFERROR(textbefore(textbefore(Raw_Data!G50,";")," / "),IFERROR(textbefore(Raw_Data!G50," / "),Raw_Data!G50))</f>
        <v>Very often / TrÃ¨s souvent</v>
      </c>
      <c r="H50" s="3" t="str">
        <f ca="1">IFERROR(textbefore(Raw_Data!H50," / "),Raw_Data!H50)</f>
        <v>Social media / RÃ©seaux sociaux;Video streaming / VidÃ©o (YouTube, Netflix);Messaging / Messagerie (WhatsApp, etc.);Online classes/work / Cours ou travail en ligne;Browsing / Navigation</v>
      </c>
      <c r="I50" s="3" t="str">
        <f ca="1">IFERROR(textbefore(Raw_Data!I50," / "),Raw_Data!I50)</f>
        <v>Average / Moyenne</v>
      </c>
      <c r="J50" s="3">
        <f>Raw_Data!J50</f>
        <v>3</v>
      </c>
      <c r="K50" s="3" t="str">
        <f ca="1">IFERROR(textbefore(Raw_Data!K50," / "),Raw_Data!K50)</f>
        <v>Average / Moyenne</v>
      </c>
      <c r="L50" s="3" t="str">
        <f ca="1">IFERROR(textbefore(Raw_Data!L50," / "),Raw_Data!L50)</f>
        <v>Often / Souvent</v>
      </c>
      <c r="M50" s="3" t="str">
        <f ca="1">IFERROR(textbefore(Raw_Data!M50," / "),Raw_Data!M50)</f>
        <v>Slow internet / Internet lent;Poor call quality / Mauvaise qualitÃ© dâ€™appel</v>
      </c>
      <c r="N50" s="3" t="str">
        <f ca="1">IFERROR(textbefore(Raw_Data!N50," / "),Raw_Data!N50)</f>
        <v>Sometimes / Parfois</v>
      </c>
      <c r="O50" s="3" t="str">
        <f ca="1">IFERROR(textbefore(Raw_Data!O50," / "),Raw_Data!O50)</f>
        <v>Afternoon / AprÃ¨s-midi</v>
      </c>
      <c r="P50" s="3" t="str">
        <f ca="1">IFERROR(textbefore(Raw_Data!P50," / "),Raw_Data!P50)</f>
        <v>Everywhere / Partout</v>
      </c>
      <c r="Q50" s="3" t="str">
        <f ca="1">IFERROR(textbefore(Raw_Data!Q50," / "),Raw_Data!Q50)</f>
        <v>Moderate / Moyen</v>
      </c>
      <c r="R50" s="3" t="str">
        <f ca="1">IFERROR(textbefore(Raw_Data!R50," / "),Raw_Data!R50)</f>
        <v>Severely / Beaucoup</v>
      </c>
      <c r="S50" s="3" t="str">
        <f ca="1">IFERROR(textbefore(Raw_Data!S50," / "),Raw_Data!S50)</f>
        <v>No / Non</v>
      </c>
      <c r="T50" s="3" t="str">
        <f ca="1">IFERROR(textbefore(Raw_Data!T50," / "),Raw_Data!T50)</f>
        <v>No / Non</v>
      </c>
      <c r="U50" s="3" t="str">
        <f ca="1">IFERROR(textbefore(Raw_Data!U50," / "),Raw_Data!U50)</f>
        <v>Never / Jamais</v>
      </c>
      <c r="V50" s="3" t="str">
        <f ca="1">IFERROR(textbefore(Raw_Data!V50," / "),Raw_Data!V50)</f>
        <v>No / Non</v>
      </c>
      <c r="W50" s="3" t="str">
        <f ca="1">IFERROR(textbefore(Raw_Data!W50," / "),Raw_Data!W50)</f>
        <v>Privacy / ConfidentialitÃ©;Battery usage / Batterie;Data usage / Consommation de donnÃ©es;Security / SÃ©curitÃ©</v>
      </c>
    </row>
    <row r="51" spans="1:23" ht="24.75" customHeight="1" x14ac:dyDescent="0.35">
      <c r="A51" s="3" t="str">
        <f>Raw_Data!A51</f>
        <v>2026/04/24 9:50:05 AM GMT+1</v>
      </c>
      <c r="B51" s="3" t="str">
        <f>Raw_Data!B51</f>
        <v>njomenysteve@gmail.com</v>
      </c>
      <c r="C51" s="3" t="str">
        <f ca="1">IFERROR(textbefore(Raw_Data!C51," / "),Raw_Data!C51)</f>
        <v>MTN</v>
      </c>
      <c r="D51" s="3" t="str">
        <f ca="1">IFERROR(textbefore(Raw_Data!D51," / "),Raw_Data!D51)</f>
        <v>Littoral Region</v>
      </c>
      <c r="E51" s="3" t="str">
        <f ca="1">IFERROR(textbefore(Raw_Data!E51," / "),Raw_Data!E51)</f>
        <v>Android</v>
      </c>
      <c r="F51" s="3" t="str">
        <f ca="1">IFERROR(textbefore(Raw_Data!F51," / "),Raw_Data!F51)</f>
        <v>25 and above</v>
      </c>
      <c r="G51" s="3" t="str">
        <f ca="1">IFERROR(textbefore(textbefore(Raw_Data!G51,";")," / "),IFERROR(textbefore(Raw_Data!G51," / "),Raw_Data!G51))</f>
        <v>Very often / TrÃ¨s souvent</v>
      </c>
      <c r="H51" s="3" t="str">
        <f ca="1">IFERROR(textbefore(Raw_Data!H51," / "),Raw_Data!H51)</f>
        <v>Social media / RÃ©seaux sociaux;Messaging / Messagerie (WhatsApp, etc.);Browsing / Navigation</v>
      </c>
      <c r="I51" s="3" t="str">
        <f ca="1">IFERROR(textbefore(Raw_Data!I51," / "),Raw_Data!I51)</f>
        <v>Average / Moyenne</v>
      </c>
      <c r="J51" s="3">
        <f>Raw_Data!J51</f>
        <v>3</v>
      </c>
      <c r="K51" s="3" t="str">
        <f ca="1">IFERROR(textbefore(Raw_Data!K51," / "),Raw_Data!K51)</f>
        <v>Average / Moyenne</v>
      </c>
      <c r="L51" s="3" t="str">
        <f ca="1">IFERROR(textbefore(Raw_Data!L51," / "),Raw_Data!L51)</f>
        <v>Sometimes / Parfois</v>
      </c>
      <c r="M51" s="3" t="str">
        <f ca="1">IFERROR(textbefore(Raw_Data!M51," / "),Raw_Data!M51)</f>
        <v>Slow internet / Internet lent;Poor call quality / Mauvaise qualitÃ© dâ€™appel</v>
      </c>
      <c r="N51" s="3" t="str">
        <f ca="1">IFERROR(textbefore(Raw_Data!N51," / "),Raw_Data!N51)</f>
        <v>Sometimes / Parfois</v>
      </c>
      <c r="O51" s="3" t="str">
        <f ca="1">IFERROR(textbefore(Raw_Data!O51," / "),Raw_Data!O51)</f>
        <v>Afternoon / AprÃ¨s-midi</v>
      </c>
      <c r="P51" s="3" t="str">
        <f ca="1">IFERROR(textbefore(Raw_Data!P51," / "),Raw_Data!P51)</f>
        <v>School/Work / Ã‰cole/Travail;On the road / En dÃ©placement</v>
      </c>
      <c r="Q51" s="3" t="str">
        <f ca="1">IFERROR(textbefore(Raw_Data!Q51," / "),Raw_Data!Q51)</f>
        <v>Moderate / Moyen</v>
      </c>
      <c r="R51" s="3" t="str">
        <f ca="1">IFERROR(textbefore(Raw_Data!R51," / "),Raw_Data!R51)</f>
        <v>Slightly / Un peu</v>
      </c>
      <c r="S51" s="3" t="str">
        <f ca="1">IFERROR(textbefore(Raw_Data!S51," / "),Raw_Data!S51)</f>
        <v>Yes / Oui</v>
      </c>
      <c r="T51" s="3" t="str">
        <f ca="1">IFERROR(textbefore(Raw_Data!T51," / "),Raw_Data!T51)</f>
        <v>Yes / Oui</v>
      </c>
      <c r="U51" s="3" t="str">
        <f ca="1">IFERROR(textbefore(Raw_Data!U51," / "),Raw_Data!U51)</f>
        <v>Only when there is a problem / Seulement en cas de problÃ¨me</v>
      </c>
      <c r="V51" s="3" t="str">
        <f ca="1">IFERROR(textbefore(Raw_Data!V51," / "),Raw_Data!V51)</f>
        <v>Yes / Oui</v>
      </c>
      <c r="W51" s="3" t="str">
        <f ca="1">IFERROR(textbefore(Raw_Data!W51," / "),Raw_Data!W51)</f>
        <v>Privacy / ConfidentialitÃ©;Battery usage / Batterie;Data usage / Consommation de donnÃ©es;Security / SÃ©curitÃ©</v>
      </c>
    </row>
    <row r="52" spans="1:23" ht="24.75" customHeight="1" x14ac:dyDescent="0.35">
      <c r="A52" s="3" t="str">
        <f>Raw_Data!A52</f>
        <v>2026/04/24 9:52:56 AM GMT+1</v>
      </c>
      <c r="B52" s="3" t="str">
        <f>Raw_Data!B52</f>
        <v>mesembedanny@gmail.com</v>
      </c>
      <c r="C52" s="3" t="str">
        <f ca="1">IFERROR(textbefore(Raw_Data!C52," / "),Raw_Data!C52)</f>
        <v>Orange</v>
      </c>
      <c r="D52" s="3" t="str">
        <f ca="1">IFERROR(textbefore(Raw_Data!D52," / "),Raw_Data!D52)</f>
        <v>Southwest Region</v>
      </c>
      <c r="E52" s="3" t="str">
        <f ca="1">IFERROR(textbefore(Raw_Data!E52," / "),Raw_Data!E52)</f>
        <v>Android</v>
      </c>
      <c r="F52" s="3" t="str">
        <f ca="1">IFERROR(textbefore(Raw_Data!F52," / "),Raw_Data!F52)</f>
        <v>25 and above</v>
      </c>
      <c r="G52" s="3" t="str">
        <f ca="1">IFERROR(textbefore(textbefore(Raw_Data!G52,";")," / "),IFERROR(textbefore(Raw_Data!G52," / "),Raw_Data!G52))</f>
        <v>Very often / TrÃ¨s souvent</v>
      </c>
      <c r="H52" s="3" t="str">
        <f ca="1">IFERROR(textbefore(Raw_Data!H52," / "),Raw_Data!H52)</f>
        <v>Messaging / Messagerie (WhatsApp, etc.)</v>
      </c>
      <c r="I52" s="3" t="str">
        <f ca="1">IFERROR(textbefore(Raw_Data!I52," / "),Raw_Data!I52)</f>
        <v>Very Poor / TrÃ¨s mauvaise</v>
      </c>
      <c r="J52" s="3">
        <f>Raw_Data!J52</f>
        <v>3</v>
      </c>
      <c r="K52" s="3" t="str">
        <f ca="1">IFERROR(textbefore(Raw_Data!K52," / "),Raw_Data!K52)</f>
        <v>Average / Moyenne</v>
      </c>
      <c r="L52" s="3" t="str">
        <f ca="1">IFERROR(textbefore(Raw_Data!L52," / "),Raw_Data!L52)</f>
        <v>Never / Jamais</v>
      </c>
      <c r="M52" s="3" t="str">
        <f ca="1">IFERROR(textbefore(Raw_Data!M52," / "),Raw_Data!M52)</f>
        <v>Slow internet / Internet lent</v>
      </c>
      <c r="N52" s="3" t="str">
        <f ca="1">IFERROR(textbefore(Raw_Data!N52," / "),Raw_Data!N52)</f>
        <v>Often / Souvent</v>
      </c>
      <c r="O52" s="3" t="str">
        <f ca="1">IFERROR(textbefore(Raw_Data!O52," / "),Raw_Data!O52)</f>
        <v>Evening / Soir</v>
      </c>
      <c r="P52" s="3" t="str">
        <f ca="1">IFERROR(textbefore(Raw_Data!P52," / "),Raw_Data!P52)</f>
        <v>Everywhere / Partout</v>
      </c>
      <c r="Q52" s="3" t="str">
        <f ca="1">IFERROR(textbefore(Raw_Data!Q52," / "),Raw_Data!Q52)</f>
        <v>Weak / Faible</v>
      </c>
      <c r="R52" s="3" t="str">
        <f ca="1">IFERROR(textbefore(Raw_Data!R52," / "),Raw_Data!R52)</f>
        <v>Slightly / Un peu</v>
      </c>
      <c r="S52" s="3" t="str">
        <f ca="1">IFERROR(textbefore(Raw_Data!S52," / "),Raw_Data!S52)</f>
        <v>Yes / Oui</v>
      </c>
      <c r="T52" s="3" t="str">
        <f ca="1">IFERROR(textbefore(Raw_Data!T52," / "),Raw_Data!T52)</f>
        <v>Yes / Oui</v>
      </c>
      <c r="U52" s="3" t="str">
        <f ca="1">IFERROR(textbefore(Raw_Data!U52," / "),Raw_Data!U52)</f>
        <v>Only when there is a problem / Seulement en cas de problÃ¨me</v>
      </c>
      <c r="V52" s="3" t="str">
        <f ca="1">IFERROR(textbefore(Raw_Data!V52," / "),Raw_Data!V52)</f>
        <v>No / Non</v>
      </c>
      <c r="W52" s="3" t="str">
        <f ca="1">IFERROR(textbefore(Raw_Data!W52," / "),Raw_Data!W52)</f>
        <v>Security / SÃ©curitÃ©</v>
      </c>
    </row>
    <row r="53" spans="1:23" ht="24.75" customHeight="1" x14ac:dyDescent="0.35">
      <c r="A53" s="3" t="str">
        <f>Raw_Data!A53</f>
        <v>2026/04/24 9:56:40 AM GMT+1</v>
      </c>
      <c r="B53" s="3" t="str">
        <f>Raw_Data!B53</f>
        <v>animisaaac95@icloud.com</v>
      </c>
      <c r="C53" s="3" t="str">
        <f ca="1">IFERROR(textbefore(Raw_Data!C53," / "),Raw_Data!C53)</f>
        <v>MTN;Orange</v>
      </c>
      <c r="D53" s="3" t="str">
        <f ca="1">IFERROR(textbefore(Raw_Data!D53," / "),Raw_Data!D53)</f>
        <v>Southwest Region</v>
      </c>
      <c r="E53" s="3" t="str">
        <f ca="1">IFERROR(textbefore(Raw_Data!E53," / "),Raw_Data!E53)</f>
        <v>Android;iPhone</v>
      </c>
      <c r="F53" s="3" t="str">
        <f ca="1">IFERROR(textbefore(Raw_Data!F53," / "),Raw_Data!F53)</f>
        <v>25 and above</v>
      </c>
      <c r="G53" s="3" t="str">
        <f ca="1">IFERROR(textbefore(textbefore(Raw_Data!G53,";")," / "),IFERROR(textbefore(Raw_Data!G53," / "),Raw_Data!G53))</f>
        <v>Very often / TrÃ¨s souvent</v>
      </c>
      <c r="H53" s="3" t="str">
        <f ca="1">IFERROR(textbefore(Raw_Data!H53," / "),Raw_Data!H53)</f>
        <v>Social media / RÃ©seaux sociaux;Video streaming / VidÃ©o (YouTube, Netflix);Messaging / Messagerie (WhatsApp, etc.)</v>
      </c>
      <c r="I53" s="3" t="str">
        <f ca="1">IFERROR(textbefore(Raw_Data!I53," / "),Raw_Data!I53)</f>
        <v>Average / Moyenne</v>
      </c>
      <c r="J53" s="3">
        <f>Raw_Data!J53</f>
        <v>3</v>
      </c>
      <c r="K53" s="3" t="str">
        <f ca="1">IFERROR(textbefore(Raw_Data!K53," / "),Raw_Data!K53)</f>
        <v>Average / Moyenne</v>
      </c>
      <c r="L53" s="3" t="str">
        <f ca="1">IFERROR(textbefore(Raw_Data!L53," / "),Raw_Data!L53)</f>
        <v>Often / Souvent</v>
      </c>
      <c r="M53" s="3" t="str">
        <f ca="1">IFERROR(textbefore(Raw_Data!M53," / "),Raw_Data!M53)</f>
        <v>Network outages / Pannes rÃ©seau</v>
      </c>
      <c r="N53" s="3" t="str">
        <f ca="1">IFERROR(textbefore(Raw_Data!N53," / "),Raw_Data!N53)</f>
        <v>Sometimes / Parfois</v>
      </c>
      <c r="O53" s="3" t="str">
        <f ca="1">IFERROR(textbefore(Raw_Data!O53," / "),Raw_Data!O53)</f>
        <v>Morning / Matin</v>
      </c>
      <c r="P53" s="3" t="str">
        <f ca="1">IFERROR(textbefore(Raw_Data!P53," / "),Raw_Data!P53)</f>
        <v>Everywhere / Partout</v>
      </c>
      <c r="Q53" s="3" t="str">
        <f ca="1">IFERROR(textbefore(Raw_Data!Q53," / "),Raw_Data!Q53)</f>
        <v>Moderate / Moyen</v>
      </c>
      <c r="R53" s="3" t="str">
        <f ca="1">IFERROR(textbefore(Raw_Data!R53," / "),Raw_Data!R53)</f>
        <v>Slightly / Un peu</v>
      </c>
      <c r="S53" s="3" t="str">
        <f ca="1">IFERROR(textbefore(Raw_Data!S53," / "),Raw_Data!S53)</f>
        <v>No / Non</v>
      </c>
      <c r="T53" s="3" t="str">
        <f ca="1">IFERROR(textbefore(Raw_Data!T53," / "),Raw_Data!T53)</f>
        <v>No / Non</v>
      </c>
      <c r="U53" s="3" t="str">
        <f ca="1">IFERROR(textbefore(Raw_Data!U53," / "),Raw_Data!U53)</f>
        <v>Once a day / Une fois par jour</v>
      </c>
      <c r="V53" s="3" t="str">
        <f ca="1">IFERROR(textbefore(Raw_Data!V53," / "),Raw_Data!V53)</f>
        <v>Yes / Oui</v>
      </c>
      <c r="W53" s="3" t="str">
        <f ca="1">IFERROR(textbefore(Raw_Data!W53," / "),Raw_Data!W53)</f>
        <v>Data usage / Consommation de donnÃ©es</v>
      </c>
    </row>
    <row r="54" spans="1:23" ht="24.75" customHeight="1" x14ac:dyDescent="0.35">
      <c r="A54" s="3" t="str">
        <f>Raw_Data!A54</f>
        <v>2026/04/24 9:59:09 AM GMT+1</v>
      </c>
      <c r="B54" s="3" t="str">
        <f>Raw_Data!B54</f>
        <v>danieltchonang505@gmail.com</v>
      </c>
      <c r="C54" s="3" t="str">
        <f ca="1">IFERROR(textbefore(Raw_Data!C54," / "),Raw_Data!C54)</f>
        <v>Orange</v>
      </c>
      <c r="D54" s="3" t="str">
        <f ca="1">IFERROR(textbefore(Raw_Data!D54," / "),Raw_Data!D54)</f>
        <v>Littoral Region</v>
      </c>
      <c r="E54" s="3" t="str">
        <f ca="1">IFERROR(textbefore(Raw_Data!E54," / "),Raw_Data!E54)</f>
        <v>Android</v>
      </c>
      <c r="F54" s="3" t="str">
        <f ca="1">IFERROR(textbefore(Raw_Data!F54," / "),Raw_Data!F54)</f>
        <v>25 and above</v>
      </c>
      <c r="G54" s="3" t="str">
        <f ca="1">IFERROR(textbefore(textbefore(Raw_Data!G54,";")," / "),IFERROR(textbefore(Raw_Data!G54," / "),Raw_Data!G54))</f>
        <v>Very often / TrÃ¨s souvent</v>
      </c>
      <c r="H54" s="3" t="str">
        <f ca="1">IFERROR(textbefore(Raw_Data!H54," / "),Raw_Data!H54)</f>
        <v>Social media / RÃ©seaux sociaux;Messaging / Messagerie (WhatsApp, etc.);Online classes/work / Cours ou travail en ligne</v>
      </c>
      <c r="I54" s="3" t="str">
        <f ca="1">IFERROR(textbefore(Raw_Data!I54," / "),Raw_Data!I54)</f>
        <v>Average / Moyenne</v>
      </c>
      <c r="J54" s="3">
        <f>Raw_Data!J54</f>
        <v>3</v>
      </c>
      <c r="K54" s="3" t="str">
        <f ca="1">IFERROR(textbefore(Raw_Data!K54," / "),Raw_Data!K54)</f>
        <v>Average / Moyenne</v>
      </c>
      <c r="L54" s="3" t="str">
        <f ca="1">IFERROR(textbefore(Raw_Data!L54," / "),Raw_Data!L54)</f>
        <v>Often / Souvent</v>
      </c>
      <c r="M54" s="3" t="str">
        <f ca="1">IFERROR(textbefore(Raw_Data!M54," / "),Raw_Data!M54)</f>
        <v>No signal / Pas de rÃ©seau;Poor call quality / Mauvaise qualitÃ© dâ€™appel;Network outages / Pannes rÃ©seau</v>
      </c>
      <c r="N54" s="3" t="str">
        <f ca="1">IFERROR(textbefore(Raw_Data!N54," / "),Raw_Data!N54)</f>
        <v>Sometimes / Parfois</v>
      </c>
      <c r="O54" s="3" t="str">
        <f ca="1">IFERROR(textbefore(Raw_Data!O54," / "),Raw_Data!O54)</f>
        <v>Evening / Soir</v>
      </c>
      <c r="P54" s="3" t="str">
        <f ca="1">IFERROR(textbefore(Raw_Data!P54," / "),Raw_Data!P54)</f>
        <v>School/Work / Ã‰cole/Travail</v>
      </c>
      <c r="Q54" s="3" t="str">
        <f ca="1">IFERROR(textbefore(Raw_Data!Q54," / "),Raw_Data!Q54)</f>
        <v>Strong / Fort</v>
      </c>
      <c r="R54" s="3" t="str">
        <f ca="1">IFERROR(textbefore(Raw_Data!R54," / "),Raw_Data!R54)</f>
        <v>Moderately / Moyennement</v>
      </c>
      <c r="S54" s="3" t="str">
        <f ca="1">IFERROR(textbefore(Raw_Data!S54," / "),Raw_Data!S54)</f>
        <v>Yes / Oui</v>
      </c>
      <c r="T54" s="3" t="str">
        <f ca="1">IFERROR(textbefore(Raw_Data!T54," / "),Raw_Data!T54)</f>
        <v>Yes / Oui</v>
      </c>
      <c r="U54" s="3" t="str">
        <f ca="1">IFERROR(textbefore(Raw_Data!U54," / "),Raw_Data!U54)</f>
        <v>Once a day / Une fois par jour</v>
      </c>
      <c r="V54" s="3" t="str">
        <f ca="1">IFERROR(textbefore(Raw_Data!V54," / "),Raw_Data!V54)</f>
        <v>Yes / Oui</v>
      </c>
      <c r="W54" s="3" t="str">
        <f ca="1">IFERROR(textbefore(Raw_Data!W54," / "),Raw_Data!W54)</f>
        <v>Data usage / Consommation de donnÃ©es</v>
      </c>
    </row>
    <row r="55" spans="1:23" ht="24.75" customHeight="1" x14ac:dyDescent="0.35">
      <c r="A55" s="3" t="str">
        <f>Raw_Data!A55</f>
        <v>2026/04/24 10:02:45 AM GMT+1</v>
      </c>
      <c r="B55" s="3" t="str">
        <f>Raw_Data!B55</f>
        <v>frankambassador72@gmail.com</v>
      </c>
      <c r="C55" s="3" t="str">
        <f ca="1">IFERROR(textbefore(Raw_Data!C55," / "),Raw_Data!C55)</f>
        <v>MTN</v>
      </c>
      <c r="D55" s="3" t="str">
        <f ca="1">IFERROR(textbefore(Raw_Data!D55," / "),Raw_Data!D55)</f>
        <v>Southwest Region</v>
      </c>
      <c r="E55" s="3" t="str">
        <f ca="1">IFERROR(textbefore(Raw_Data!E55," / "),Raw_Data!E55)</f>
        <v>Android</v>
      </c>
      <c r="F55" s="3" t="str">
        <f ca="1">IFERROR(textbefore(Raw_Data!F55," / "),Raw_Data!F55)</f>
        <v>20-25</v>
      </c>
      <c r="G55" s="3" t="str">
        <f ca="1">IFERROR(textbefore(textbefore(Raw_Data!G55,";")," / "),IFERROR(textbefore(Raw_Data!G55," / "),Raw_Data!G55))</f>
        <v>Very often / TrÃ¨s souvent</v>
      </c>
      <c r="H55" s="3" t="str">
        <f ca="1">IFERROR(textbefore(Raw_Data!H55," / "),Raw_Data!H55)</f>
        <v>Messaging / Messagerie (WhatsApp, etc.)</v>
      </c>
      <c r="I55" s="3" t="str">
        <f ca="1">IFERROR(textbefore(Raw_Data!I55," / "),Raw_Data!I55)</f>
        <v>Average / Moyenne</v>
      </c>
      <c r="J55" s="3">
        <f>Raw_Data!J55</f>
        <v>3</v>
      </c>
      <c r="K55" s="3" t="str">
        <f ca="1">IFERROR(textbefore(Raw_Data!K55," / "),Raw_Data!K55)</f>
        <v>Average / Moyenne</v>
      </c>
      <c r="L55" s="3" t="str">
        <f ca="1">IFERROR(textbefore(Raw_Data!L55," / "),Raw_Data!L55)</f>
        <v>Sometimes / Parfois</v>
      </c>
      <c r="M55" s="3" t="str">
        <f ca="1">IFERROR(textbefore(Raw_Data!M55," / "),Raw_Data!M55)</f>
        <v>Poor call quality / Mauvaise qualitÃ© dâ€™appel</v>
      </c>
      <c r="N55" s="3" t="str">
        <f ca="1">IFERROR(textbefore(Raw_Data!N55," / "),Raw_Data!N55)</f>
        <v>Sometimes / Parfois</v>
      </c>
      <c r="O55" s="3" t="str">
        <f ca="1">IFERROR(textbefore(Raw_Data!O55," / "),Raw_Data!O55)</f>
        <v>Afternoon / AprÃ¨s-midi</v>
      </c>
      <c r="P55" s="3" t="str">
        <f ca="1">IFERROR(textbefore(Raw_Data!P55," / "),Raw_Data!P55)</f>
        <v>School/Work / Ã‰cole/Travail</v>
      </c>
      <c r="Q55" s="3" t="str">
        <f ca="1">IFERROR(textbefore(Raw_Data!Q55," / "),Raw_Data!Q55)</f>
        <v>Moderate / Moyen</v>
      </c>
      <c r="R55" s="3" t="str">
        <f ca="1">IFERROR(textbefore(Raw_Data!R55," / "),Raw_Data!R55)</f>
        <v>Moderately / Moyennement</v>
      </c>
      <c r="S55" s="3" t="str">
        <f ca="1">IFERROR(textbefore(Raw_Data!S55," / "),Raw_Data!S55)</f>
        <v>Yes / Oui</v>
      </c>
      <c r="T55" s="3" t="str">
        <f ca="1">IFERROR(textbefore(Raw_Data!T55," / "),Raw_Data!T55)</f>
        <v>Yes / Oui</v>
      </c>
      <c r="U55" s="3" t="str">
        <f ca="1">IFERROR(textbefore(Raw_Data!U55," / "),Raw_Data!U55)</f>
        <v>Only when there is a problem / Seulement en cas de problÃ¨me</v>
      </c>
      <c r="V55" s="3" t="str">
        <f ca="1">IFERROR(textbefore(Raw_Data!V55," / "),Raw_Data!V55)</f>
        <v>Yes / Oui</v>
      </c>
      <c r="W55" s="3" t="str">
        <f ca="1">IFERROR(textbefore(Raw_Data!W55," / "),Raw_Data!W55)</f>
        <v>Data usage / Consommation de donnÃ©es</v>
      </c>
    </row>
    <row r="56" spans="1:23" ht="24.75" customHeight="1" x14ac:dyDescent="0.35">
      <c r="A56" s="3" t="str">
        <f>Raw_Data!A56</f>
        <v>2026/04/24 10:03:03 AM GMT+1</v>
      </c>
      <c r="B56" s="3" t="str">
        <f>Raw_Data!B56</f>
        <v>tendodio@gmail.com</v>
      </c>
      <c r="C56" s="3" t="str">
        <f ca="1">IFERROR(textbefore(Raw_Data!C56," / "),Raw_Data!C56)</f>
        <v>MTN;Orange</v>
      </c>
      <c r="D56" s="3" t="str">
        <f ca="1">IFERROR(textbefore(Raw_Data!D56," / "),Raw_Data!D56)</f>
        <v>Center Regional</v>
      </c>
      <c r="E56" s="3" t="str">
        <f ca="1">IFERROR(textbefore(Raw_Data!E56," / "),Raw_Data!E56)</f>
        <v>Android</v>
      </c>
      <c r="F56" s="3" t="str">
        <f ca="1">IFERROR(textbefore(Raw_Data!F56," / "),Raw_Data!F56)</f>
        <v>20-25</v>
      </c>
      <c r="G56" s="3" t="str">
        <f ca="1">IFERROR(textbefore(textbefore(Raw_Data!G56,";")," / "),IFERROR(textbefore(Raw_Data!G56," / "),Raw_Data!G56))</f>
        <v>Very often / TrÃ¨s souvent</v>
      </c>
      <c r="H56" s="3" t="str">
        <f ca="1">IFERROR(textbefore(Raw_Data!H56," / "),Raw_Data!H56)</f>
        <v>Social media / RÃ©seaux sociaux;Video streaming / VidÃ©o (YouTube, Netflix);Messaging / Messagerie (WhatsApp, etc.);Online classes/work / Cours ou travail en ligne;Gaming / Jeux;Browsing / Navigation</v>
      </c>
      <c r="I56" s="3" t="str">
        <f ca="1">IFERROR(textbefore(Raw_Data!I56," / "),Raw_Data!I56)</f>
        <v>Poor / Mauvaise</v>
      </c>
      <c r="J56" s="3">
        <f>Raw_Data!J56</f>
        <v>2</v>
      </c>
      <c r="K56" s="3" t="str">
        <f ca="1">IFERROR(textbefore(Raw_Data!K56," / "),Raw_Data!K56)</f>
        <v>Poor / Instable</v>
      </c>
      <c r="L56" s="3" t="str">
        <f ca="1">IFERROR(textbefore(Raw_Data!L56," / "),Raw_Data!L56)</f>
        <v>Always / Toujours</v>
      </c>
      <c r="M56" s="3" t="str">
        <f ca="1">IFERROR(textbefore(Raw_Data!M56," / "),Raw_Data!M56)</f>
        <v>Slow internet / Internet lent;No signal / Pas de rÃ©seau;Poor call quality / Mauvaise qualitÃ© dâ€™appel;Network outages / Pannes rÃ©seau</v>
      </c>
      <c r="N56" s="3" t="str">
        <f ca="1">IFERROR(textbefore(Raw_Data!N56," / "),Raw_Data!N56)</f>
        <v>Very often / TrÃ¨s souvent</v>
      </c>
      <c r="O56" s="3" t="str">
        <f ca="1">IFERROR(textbefore(Raw_Data!O56," / "),Raw_Data!O56)</f>
        <v>Afternoon / AprÃ¨s-midi</v>
      </c>
      <c r="P56" s="3" t="str">
        <f ca="1">IFERROR(textbefore(Raw_Data!P56," / "),Raw_Data!P56)</f>
        <v>School/Work / Ã‰cole/Travail;On the road / En dÃ©placement;Everywhere / Partout</v>
      </c>
      <c r="Q56" s="3" t="str">
        <f ca="1">IFERROR(textbefore(Raw_Data!Q56," / "),Raw_Data!Q56)</f>
        <v>Weak / Faible</v>
      </c>
      <c r="R56" s="3" t="str">
        <f ca="1">IFERROR(textbefore(Raw_Data!R56," / "),Raw_Data!R56)</f>
        <v>Severely / Beaucoup</v>
      </c>
      <c r="S56" s="3" t="str">
        <f ca="1">IFERROR(textbefore(Raw_Data!S56," / "),Raw_Data!S56)</f>
        <v>Yes / Oui</v>
      </c>
      <c r="T56" s="3" t="str">
        <f ca="1">IFERROR(textbefore(Raw_Data!T56," / "),Raw_Data!T56)</f>
        <v>Yes / Oui</v>
      </c>
      <c r="U56" s="3" t="str">
        <f ca="1">IFERROR(textbefore(Raw_Data!U56," / "),Raw_Data!U56)</f>
        <v>Once a week</v>
      </c>
      <c r="V56" s="3" t="str">
        <f ca="1">IFERROR(textbefore(Raw_Data!V56," / "),Raw_Data!V56)</f>
        <v>Yes / Oui</v>
      </c>
      <c r="W56" s="3" t="str">
        <f ca="1">IFERROR(textbefore(Raw_Data!W56," / "),Raw_Data!W56)</f>
        <v>Privacy / ConfidentialitÃ©;Battery usage / Batterie;Data usage / Consommation de donnÃ©es;Security / SÃ©curitÃ©</v>
      </c>
    </row>
    <row r="57" spans="1:23" ht="24.75" customHeight="1" x14ac:dyDescent="0.35">
      <c r="A57" s="3" t="str">
        <f>Raw_Data!A57</f>
        <v>2026/04/24 10:06:22 AM GMT+1</v>
      </c>
      <c r="B57" s="3" t="str">
        <f>Raw_Data!B57</f>
        <v>numforprecious7@gmail.com</v>
      </c>
      <c r="C57" s="3" t="str">
        <f ca="1">IFERROR(textbefore(Raw_Data!C57," / "),Raw_Data!C57)</f>
        <v>MTN</v>
      </c>
      <c r="D57" s="3" t="str">
        <f ca="1">IFERROR(textbefore(Raw_Data!D57," / "),Raw_Data!D57)</f>
        <v>Southwest Region</v>
      </c>
      <c r="E57" s="3" t="str">
        <f ca="1">IFERROR(textbefore(Raw_Data!E57," / "),Raw_Data!E57)</f>
        <v>Android</v>
      </c>
      <c r="F57" s="3" t="str">
        <f ca="1">IFERROR(textbefore(Raw_Data!F57," / "),Raw_Data!F57)</f>
        <v>20-25</v>
      </c>
      <c r="G57" s="3" t="str">
        <f ca="1">IFERROR(textbefore(textbefore(Raw_Data!G57,";")," / "),IFERROR(textbefore(Raw_Data!G57," / "),Raw_Data!G57))</f>
        <v>Very often / TrÃ¨s souvent</v>
      </c>
      <c r="H57" s="3" t="str">
        <f ca="1">IFERROR(textbefore(Raw_Data!H57," / "),Raw_Data!H57)</f>
        <v>Social media / RÃ©seaux sociaux;Video streaming / VidÃ©o (YouTube, Netflix);Messaging / Messagerie (WhatsApp, etc.);Online classes/work / Cours ou travail en ligne;Browsing / Navigation</v>
      </c>
      <c r="I57" s="3" t="str">
        <f ca="1">IFERROR(textbefore(Raw_Data!I57," / "),Raw_Data!I57)</f>
        <v>Average / Moyenne</v>
      </c>
      <c r="J57" s="3">
        <f>Raw_Data!J57</f>
        <v>3</v>
      </c>
      <c r="K57" s="3" t="str">
        <f ca="1">IFERROR(textbefore(Raw_Data!K57," / "),Raw_Data!K57)</f>
        <v>Average / Moyenne</v>
      </c>
      <c r="L57" s="3" t="str">
        <f ca="1">IFERROR(textbefore(Raw_Data!L57," / "),Raw_Data!L57)</f>
        <v>Often / Souvent</v>
      </c>
      <c r="M57" s="3" t="str">
        <f ca="1">IFERROR(textbefore(Raw_Data!M57," / "),Raw_Data!M57)</f>
        <v>Slow internet / Internet lent</v>
      </c>
      <c r="N57" s="3" t="str">
        <f ca="1">IFERROR(textbefore(Raw_Data!N57," / "),Raw_Data!N57)</f>
        <v>Very often / TrÃ¨s souvent;Never / Jamais</v>
      </c>
      <c r="O57" s="3" t="str">
        <f ca="1">IFERROR(textbefore(Raw_Data!O57," / "),Raw_Data!O57)</f>
        <v>Evening / Soir</v>
      </c>
      <c r="P57" s="3" t="str">
        <f ca="1">IFERROR(textbefore(Raw_Data!P57," / "),Raw_Data!P57)</f>
        <v>Everywhere / Partout</v>
      </c>
      <c r="Q57" s="3" t="str">
        <f ca="1">IFERROR(textbefore(Raw_Data!Q57," / "),Raw_Data!Q57)</f>
        <v>Moderate / Moyen</v>
      </c>
      <c r="R57" s="3" t="str">
        <f ca="1">IFERROR(textbefore(Raw_Data!R57," / "),Raw_Data!R57)</f>
        <v>Severely / Beaucoup</v>
      </c>
      <c r="S57" s="3" t="str">
        <f ca="1">IFERROR(textbefore(Raw_Data!S57," / "),Raw_Data!S57)</f>
        <v>Yes / Oui</v>
      </c>
      <c r="T57" s="3" t="str">
        <f ca="1">IFERROR(textbefore(Raw_Data!T57," / "),Raw_Data!T57)</f>
        <v>Yes / Oui</v>
      </c>
      <c r="U57" s="3" t="str">
        <f ca="1">IFERROR(textbefore(Raw_Data!U57," / "),Raw_Data!U57)</f>
        <v>Only when there is a problem / Seulement en cas de problÃ¨me</v>
      </c>
      <c r="V57" s="3" t="str">
        <f ca="1">IFERROR(textbefore(Raw_Data!V57," / "),Raw_Data!V57)</f>
        <v>No / Non</v>
      </c>
      <c r="W57" s="3" t="str">
        <f ca="1">IFERROR(textbefore(Raw_Data!W57," / "),Raw_Data!W57)</f>
        <v>Privacy / ConfidentialitÃ©;Battery usage / Batterie;Data usage / Consommation de donnÃ©es;Security / SÃ©curitÃ©</v>
      </c>
    </row>
    <row r="58" spans="1:23" ht="24.75" customHeight="1" x14ac:dyDescent="0.35">
      <c r="A58" s="3" t="str">
        <f>Raw_Data!A58</f>
        <v>2026/04/24 10:08:11 AM GMT+1</v>
      </c>
      <c r="B58" s="3" t="str">
        <f>Raw_Data!B58</f>
        <v>damarise91.t@gmail.com</v>
      </c>
      <c r="C58" s="3" t="str">
        <f ca="1">IFERROR(textbefore(Raw_Data!C58," / "),Raw_Data!C58)</f>
        <v>MTN;Orange;Camtel</v>
      </c>
      <c r="D58" s="3" t="str">
        <f ca="1">IFERROR(textbefore(Raw_Data!D58," / "),Raw_Data!D58)</f>
        <v>Littoral Region</v>
      </c>
      <c r="E58" s="3" t="str">
        <f ca="1">IFERROR(textbefore(Raw_Data!E58," / "),Raw_Data!E58)</f>
        <v>Android;iPhone</v>
      </c>
      <c r="F58" s="3" t="str">
        <f ca="1">IFERROR(textbefore(Raw_Data!F58," / "),Raw_Data!F58)</f>
        <v>25 and above</v>
      </c>
      <c r="G58" s="3" t="str">
        <f ca="1">IFERROR(textbefore(textbefore(Raw_Data!G58,";")," / "),IFERROR(textbefore(Raw_Data!G58," / "),Raw_Data!G58))</f>
        <v>Rarely / Rarement</v>
      </c>
      <c r="H58" s="3" t="str">
        <f ca="1">IFERROR(textbefore(Raw_Data!H58," / "),Raw_Data!H58)</f>
        <v xml:space="preserve">I mostly used wifi and not mobile data, and i used for all online activities </v>
      </c>
      <c r="I58" s="3" t="str">
        <f ca="1">IFERROR(textbefore(Raw_Data!I58," / "),Raw_Data!I58)</f>
        <v>Average / Moyenne</v>
      </c>
      <c r="J58" s="3">
        <f>Raw_Data!J58</f>
        <v>4</v>
      </c>
      <c r="K58" s="3" t="str">
        <f ca="1">IFERROR(textbefore(Raw_Data!K58," / "),Raw_Data!K58)</f>
        <v>Average / Moyenne</v>
      </c>
      <c r="L58" s="3" t="str">
        <f ca="1">IFERROR(textbefore(Raw_Data!L58," / "),Raw_Data!L58)</f>
        <v>Sometimes / Parfois</v>
      </c>
      <c r="M58" s="3" t="str">
        <f ca="1">IFERROR(textbefore(Raw_Data!M58," / "),Raw_Data!M58)</f>
        <v>Poor call quality / Mauvaise qualitÃ© dâ€™appel</v>
      </c>
      <c r="N58" s="3" t="str">
        <f ca="1">IFERROR(textbefore(Raw_Data!N58," / "),Raw_Data!N58)</f>
        <v>Sometimes / Parfois</v>
      </c>
      <c r="O58" s="3" t="str">
        <f ca="1">IFERROR(textbefore(Raw_Data!O58," / "),Raw_Data!O58)</f>
        <v>Afternoon / AprÃ¨s-midi</v>
      </c>
      <c r="P58" s="3" t="str">
        <f ca="1">IFERROR(textbefore(Raw_Data!P58," / "),Raw_Data!P58)</f>
        <v>On the road / En dÃ©placement</v>
      </c>
      <c r="Q58" s="3" t="str">
        <f ca="1">IFERROR(textbefore(Raw_Data!Q58," / "),Raw_Data!Q58)</f>
        <v>Moderate / Moyen</v>
      </c>
      <c r="R58" s="3" t="str">
        <f ca="1">IFERROR(textbefore(Raw_Data!R58," / "),Raw_Data!R58)</f>
        <v>Moderately / Moyennement</v>
      </c>
      <c r="S58" s="3" t="str">
        <f ca="1">IFERROR(textbefore(Raw_Data!S58," / "),Raw_Data!S58)</f>
        <v>Yes / Oui</v>
      </c>
      <c r="T58" s="3" t="str">
        <f ca="1">IFERROR(textbefore(Raw_Data!T58," / "),Raw_Data!T58)</f>
        <v>Yes / Oui</v>
      </c>
      <c r="U58" s="3" t="str">
        <f ca="1">IFERROR(textbefore(Raw_Data!U58," / "),Raw_Data!U58)</f>
        <v>Only when there is a problem / Seulement en cas de problÃ¨me</v>
      </c>
      <c r="V58" s="3" t="str">
        <f ca="1">IFERROR(textbefore(Raw_Data!V58," / "),Raw_Data!V58)</f>
        <v>No / Non</v>
      </c>
      <c r="W58" s="3" t="str">
        <f ca="1">IFERROR(textbefore(Raw_Data!W58," / "),Raw_Data!W58)</f>
        <v>Privacy / ConfidentialitÃ©;Security / SÃ©curitÃ©</v>
      </c>
    </row>
    <row r="59" spans="1:23" ht="24.75" customHeight="1" x14ac:dyDescent="0.35">
      <c r="A59" s="3" t="str">
        <f>Raw_Data!A59</f>
        <v>2026/04/24 10:08:24 AM GMT+1</v>
      </c>
      <c r="B59" s="3" t="str">
        <f>Raw_Data!B59</f>
        <v>ngweseeleen01@gmail.com</v>
      </c>
      <c r="C59" s="3" t="str">
        <f ca="1">IFERROR(textbefore(Raw_Data!C59," / "),Raw_Data!C59)</f>
        <v>MTN</v>
      </c>
      <c r="D59" s="3" t="str">
        <f ca="1">IFERROR(textbefore(Raw_Data!D59," / "),Raw_Data!D59)</f>
        <v>Southwest Region</v>
      </c>
      <c r="E59" s="3" t="str">
        <f ca="1">IFERROR(textbefore(Raw_Data!E59," / "),Raw_Data!E59)</f>
        <v>iPhone</v>
      </c>
      <c r="F59" s="3" t="str">
        <f ca="1">IFERROR(textbefore(Raw_Data!F59," / "),Raw_Data!F59)</f>
        <v>15-20</v>
      </c>
      <c r="G59" s="3" t="str">
        <f ca="1">IFERROR(textbefore(textbefore(Raw_Data!G59,";")," / "),IFERROR(textbefore(Raw_Data!G59," / "),Raw_Data!G59))</f>
        <v>Very often / TrÃ¨s souvent</v>
      </c>
      <c r="H59" s="3" t="str">
        <f ca="1">IFERROR(textbefore(Raw_Data!H59," / "),Raw_Data!H59)</f>
        <v>Social media / RÃ©seaux sociaux</v>
      </c>
      <c r="I59" s="3" t="str">
        <f ca="1">IFERROR(textbefore(Raw_Data!I59," / "),Raw_Data!I59)</f>
        <v>Average / Moyenne</v>
      </c>
      <c r="J59" s="3">
        <f>Raw_Data!J59</f>
        <v>3</v>
      </c>
      <c r="K59" s="3" t="str">
        <f ca="1">IFERROR(textbefore(Raw_Data!K59," / "),Raw_Data!K59)</f>
        <v>Average / Moyenne</v>
      </c>
      <c r="L59" s="3" t="str">
        <f ca="1">IFERROR(textbefore(Raw_Data!L59," / "),Raw_Data!L59)</f>
        <v>Sometimes / Parfois</v>
      </c>
      <c r="M59" s="3" t="str">
        <f ca="1">IFERROR(textbefore(Raw_Data!M59," / "),Raw_Data!M59)</f>
        <v>Slow internet / Internet lent</v>
      </c>
      <c r="N59" s="3" t="str">
        <f ca="1">IFERROR(textbefore(Raw_Data!N59," / "),Raw_Data!N59)</f>
        <v>Sometimes / Parfois</v>
      </c>
      <c r="O59" s="3" t="str">
        <f ca="1">IFERROR(textbefore(Raw_Data!O59," / "),Raw_Data!O59)</f>
        <v>Morning / Matin</v>
      </c>
      <c r="P59" s="3" t="str">
        <f ca="1">IFERROR(textbefore(Raw_Data!P59," / "),Raw_Data!P59)</f>
        <v>School/Work / Ã‰cole/Travail</v>
      </c>
      <c r="Q59" s="3" t="str">
        <f ca="1">IFERROR(textbefore(Raw_Data!Q59," / "),Raw_Data!Q59)</f>
        <v>Moderate / Moyen</v>
      </c>
      <c r="R59" s="3" t="str">
        <f ca="1">IFERROR(textbefore(Raw_Data!R59," / "),Raw_Data!R59)</f>
        <v>Slightly / Un peu</v>
      </c>
      <c r="S59" s="3" t="str">
        <f ca="1">IFERROR(textbefore(Raw_Data!S59," / "),Raw_Data!S59)</f>
        <v>Yes / Oui</v>
      </c>
      <c r="T59" s="3" t="str">
        <f ca="1">IFERROR(textbefore(Raw_Data!T59," / "),Raw_Data!T59)</f>
        <v>Yes / Oui</v>
      </c>
      <c r="U59" s="3" t="str">
        <f ca="1">IFERROR(textbefore(Raw_Data!U59," / "),Raw_Data!U59)</f>
        <v>Only when there is a problem / Seulement en cas de problÃ¨me</v>
      </c>
      <c r="V59" s="3" t="str">
        <f ca="1">IFERROR(textbefore(Raw_Data!V59," / "),Raw_Data!V59)</f>
        <v>No / Non</v>
      </c>
      <c r="W59" s="3" t="str">
        <f ca="1">IFERROR(textbefore(Raw_Data!W59," / "),Raw_Data!W59)</f>
        <v>Privacy / ConfidentialitÃ©</v>
      </c>
    </row>
    <row r="60" spans="1:23" ht="24.75" customHeight="1" x14ac:dyDescent="0.35">
      <c r="A60" s="3" t="str">
        <f>Raw_Data!A60</f>
        <v>2026/04/24 10:09:13 AM GMT+1</v>
      </c>
      <c r="B60" s="3" t="str">
        <f>Raw_Data!B60</f>
        <v>mbahjohngift@gmail.com</v>
      </c>
      <c r="C60" s="3" t="str">
        <f ca="1">IFERROR(textbefore(Raw_Data!C60," / "),Raw_Data!C60)</f>
        <v>MTN</v>
      </c>
      <c r="D60" s="3" t="str">
        <f ca="1">IFERROR(textbefore(Raw_Data!D60," / "),Raw_Data!D60)</f>
        <v>Littoral Region</v>
      </c>
      <c r="E60" s="3" t="str">
        <f ca="1">IFERROR(textbefore(Raw_Data!E60," / "),Raw_Data!E60)</f>
        <v>Android</v>
      </c>
      <c r="F60" s="3" t="str">
        <f ca="1">IFERROR(textbefore(Raw_Data!F60," / "),Raw_Data!F60)</f>
        <v>20-25</v>
      </c>
      <c r="G60" s="3" t="str">
        <f ca="1">IFERROR(textbefore(textbefore(Raw_Data!G60,";")," / "),IFERROR(textbefore(Raw_Data!G60," / "),Raw_Data!G60))</f>
        <v>Often / Souvent</v>
      </c>
      <c r="H60" s="3" t="str">
        <f ca="1">IFERROR(textbefore(Raw_Data!H60," / "),Raw_Data!H60)</f>
        <v>Online classes/work / Cours ou travail en ligne</v>
      </c>
      <c r="I60" s="3" t="str">
        <f ca="1">IFERROR(textbefore(Raw_Data!I60," / "),Raw_Data!I60)</f>
        <v>Average / Moyenne</v>
      </c>
      <c r="J60" s="3">
        <f>Raw_Data!J60</f>
        <v>5</v>
      </c>
      <c r="K60" s="3" t="str">
        <f ca="1">IFERROR(textbefore(Raw_Data!K60," / "),Raw_Data!K60)</f>
        <v>Good / Stable</v>
      </c>
      <c r="L60" s="3" t="str">
        <f ca="1">IFERROR(textbefore(Raw_Data!L60," / "),Raw_Data!L60)</f>
        <v>Rarely / Rarement</v>
      </c>
      <c r="M60" s="3" t="str">
        <f ca="1">IFERROR(textbefore(Raw_Data!M60," / "),Raw_Data!M60)</f>
        <v>No signal / Pas de rÃ©seau</v>
      </c>
      <c r="N60" s="3" t="str">
        <f ca="1">IFERROR(textbefore(Raw_Data!N60," / "),Raw_Data!N60)</f>
        <v>Sometimes / Parfois</v>
      </c>
      <c r="O60" s="3" t="str">
        <f ca="1">IFERROR(textbefore(Raw_Data!O60," / "),Raw_Data!O60)</f>
        <v>Afternoon / AprÃ¨s-midi</v>
      </c>
      <c r="P60" s="3" t="str">
        <f ca="1">IFERROR(textbefore(Raw_Data!P60," / "),Raw_Data!P60)</f>
        <v>On the road / En dÃ©placement</v>
      </c>
      <c r="Q60" s="3" t="str">
        <f ca="1">IFERROR(textbefore(Raw_Data!Q60," / "),Raw_Data!Q60)</f>
        <v>Strong / Fort</v>
      </c>
      <c r="R60" s="3" t="str">
        <f ca="1">IFERROR(textbefore(Raw_Data!R60," / "),Raw_Data!R60)</f>
        <v>Slightly / Un peu</v>
      </c>
      <c r="S60" s="3" t="str">
        <f ca="1">IFERROR(textbefore(Raw_Data!S60," / "),Raw_Data!S60)</f>
        <v>Yes / Oui</v>
      </c>
      <c r="T60" s="3" t="str">
        <f ca="1">IFERROR(textbefore(Raw_Data!T60," / "),Raw_Data!T60)</f>
        <v>Yes / Oui</v>
      </c>
      <c r="U60" s="3" t="str">
        <f ca="1">IFERROR(textbefore(Raw_Data!U60," / "),Raw_Data!U60)</f>
        <v>Once a day / Une fois par jour</v>
      </c>
      <c r="V60" s="3" t="str">
        <f ca="1">IFERROR(textbefore(Raw_Data!V60," / "),Raw_Data!V60)</f>
        <v>Yes / Oui</v>
      </c>
      <c r="W60" s="3" t="str">
        <f ca="1">IFERROR(textbefore(Raw_Data!W60," / "),Raw_Data!W60)</f>
        <v>Privacy / ConfidentialitÃ©</v>
      </c>
    </row>
    <row r="61" spans="1:23" ht="24.75" customHeight="1" x14ac:dyDescent="0.35">
      <c r="A61" s="3" t="str">
        <f>Raw_Data!A61</f>
        <v>2026/04/24 10:11:51 AM GMT+1</v>
      </c>
      <c r="B61" s="3" t="str">
        <f>Raw_Data!B61</f>
        <v>agbornjabesong@gmail.com</v>
      </c>
      <c r="C61" s="3" t="str">
        <f ca="1">IFERROR(textbefore(Raw_Data!C61," / "),Raw_Data!C61)</f>
        <v>MTN</v>
      </c>
      <c r="D61" s="3" t="str">
        <f ca="1">IFERROR(textbefore(Raw_Data!D61," / "),Raw_Data!D61)</f>
        <v>Southwest Region</v>
      </c>
      <c r="E61" s="3" t="str">
        <f ca="1">IFERROR(textbefore(Raw_Data!E61," / "),Raw_Data!E61)</f>
        <v>Android</v>
      </c>
      <c r="F61" s="3" t="str">
        <f ca="1">IFERROR(textbefore(Raw_Data!F61," / "),Raw_Data!F61)</f>
        <v>20-25</v>
      </c>
      <c r="G61" s="3" t="str">
        <f ca="1">IFERROR(textbefore(textbefore(Raw_Data!G61,";")," / "),IFERROR(textbefore(Raw_Data!G61," / "),Raw_Data!G61))</f>
        <v>Very often / TrÃ¨s souvent</v>
      </c>
      <c r="H61" s="3" t="str">
        <f ca="1">IFERROR(textbefore(Raw_Data!H61," / "),Raw_Data!H61)</f>
        <v>Social media / RÃ©seaux sociaux;Messaging / Messagerie (WhatsApp, etc.);Online classes/work / Cours ou travail en ligne</v>
      </c>
      <c r="I61" s="3" t="str">
        <f ca="1">IFERROR(textbefore(Raw_Data!I61," / "),Raw_Data!I61)</f>
        <v>Average / Moyenne</v>
      </c>
      <c r="J61" s="3">
        <f>Raw_Data!J61</f>
        <v>3</v>
      </c>
      <c r="K61" s="3" t="str">
        <f ca="1">IFERROR(textbefore(Raw_Data!K61," / "),Raw_Data!K61)</f>
        <v>Average / Moyenne</v>
      </c>
      <c r="L61" s="3" t="str">
        <f ca="1">IFERROR(textbefore(Raw_Data!L61," / "),Raw_Data!L61)</f>
        <v>Sometimes / Parfois</v>
      </c>
      <c r="M61" s="3" t="str">
        <f ca="1">IFERROR(textbefore(Raw_Data!M61," / "),Raw_Data!M61)</f>
        <v>Slow internet / Internet lent</v>
      </c>
      <c r="N61" s="3" t="str">
        <f ca="1">IFERROR(textbefore(Raw_Data!N61," / "),Raw_Data!N61)</f>
        <v>Sometimes / Parfois</v>
      </c>
      <c r="O61" s="3" t="str">
        <f ca="1">IFERROR(textbefore(Raw_Data!O61," / "),Raw_Data!O61)</f>
        <v>Afternoon / AprÃ¨s-midi</v>
      </c>
      <c r="P61" s="3" t="str">
        <f ca="1">IFERROR(textbefore(Raw_Data!P61," / "),Raw_Data!P61)</f>
        <v>Everywhere / Partout</v>
      </c>
      <c r="Q61" s="3" t="str">
        <f ca="1">IFERROR(textbefore(Raw_Data!Q61," / "),Raw_Data!Q61)</f>
        <v>Moderate / Moyen</v>
      </c>
      <c r="R61" s="3" t="str">
        <f ca="1">IFERROR(textbefore(Raw_Data!R61," / "),Raw_Data!R61)</f>
        <v>Moderately / Moyennement</v>
      </c>
      <c r="S61" s="3" t="str">
        <f ca="1">IFERROR(textbefore(Raw_Data!S61," / "),Raw_Data!S61)</f>
        <v>Yes / Oui</v>
      </c>
      <c r="T61" s="3" t="str">
        <f ca="1">IFERROR(textbefore(Raw_Data!T61," / "),Raw_Data!T61)</f>
        <v>Yes / Oui</v>
      </c>
      <c r="U61" s="3" t="str">
        <f ca="1">IFERROR(textbefore(Raw_Data!U61," / "),Raw_Data!U61)</f>
        <v>Once a day / Une fois par jour</v>
      </c>
      <c r="V61" s="3" t="str">
        <f ca="1">IFERROR(textbefore(Raw_Data!V61," / "),Raw_Data!V61)</f>
        <v>Yes / Oui</v>
      </c>
      <c r="W61" s="3" t="str">
        <f ca="1">IFERROR(textbefore(Raw_Data!W61," / "),Raw_Data!W61)</f>
        <v>Privacy / ConfidentialitÃ©;Security / SÃ©curitÃ©</v>
      </c>
    </row>
    <row r="62" spans="1:23" ht="24.75" customHeight="1" x14ac:dyDescent="0.35">
      <c r="A62" s="3" t="str">
        <f>Raw_Data!A62</f>
        <v>2026/04/24 10:18:18 AM GMT+1</v>
      </c>
      <c r="B62" s="3" t="str">
        <f>Raw_Data!B62</f>
        <v>aubrytadjeu@gmail.com</v>
      </c>
      <c r="C62" s="3" t="str">
        <f ca="1">IFERROR(textbefore(Raw_Data!C62," / "),Raw_Data!C62)</f>
        <v>MTN</v>
      </c>
      <c r="D62" s="3" t="str">
        <f ca="1">IFERROR(textbefore(Raw_Data!D62," / "),Raw_Data!D62)</f>
        <v>Southwest Region</v>
      </c>
      <c r="E62" s="3" t="str">
        <f ca="1">IFERROR(textbefore(Raw_Data!E62," / "),Raw_Data!E62)</f>
        <v>Android</v>
      </c>
      <c r="F62" s="3" t="str">
        <f ca="1">IFERROR(textbefore(Raw_Data!F62," / "),Raw_Data!F62)</f>
        <v>20-25</v>
      </c>
      <c r="G62" s="3" t="str">
        <f ca="1">IFERROR(textbefore(textbefore(Raw_Data!G62,";")," / "),IFERROR(textbefore(Raw_Data!G62," / "),Raw_Data!G62))</f>
        <v>Often / Souvent</v>
      </c>
      <c r="H62" s="3" t="str">
        <f ca="1">IFERROR(textbefore(Raw_Data!H62," / "),Raw_Data!H62)</f>
        <v>Social media / RÃ©seaux sociaux;Video streaming / VidÃ©o (YouTube, Netflix);Messaging / Messagerie (WhatsApp, etc.);Online classes/work / Cours ou travail en ligne;</v>
      </c>
      <c r="I62" s="3" t="str">
        <f ca="1">IFERROR(textbefore(Raw_Data!I62," / "),Raw_Data!I62)</f>
        <v>Poor / Mauvaise</v>
      </c>
      <c r="J62" s="3">
        <f>Raw_Data!J62</f>
        <v>4</v>
      </c>
      <c r="K62" s="3" t="str">
        <f ca="1">IFERROR(textbefore(Raw_Data!K62," / "),Raw_Data!K62)</f>
        <v>Poor / Instable</v>
      </c>
      <c r="L62" s="3" t="str">
        <f ca="1">IFERROR(textbefore(Raw_Data!L62," / "),Raw_Data!L62)</f>
        <v>Sometimes / Parfois</v>
      </c>
      <c r="M62" s="3" t="str">
        <f ca="1">IFERROR(textbefore(Raw_Data!M62," / "),Raw_Data!M62)</f>
        <v>Slow internet / Internet lent</v>
      </c>
      <c r="N62" s="3" t="str">
        <f ca="1">IFERROR(textbefore(Raw_Data!N62," / "),Raw_Data!N62)</f>
        <v>Sometimes / Parfois</v>
      </c>
      <c r="O62" s="3" t="str">
        <f ca="1">IFERROR(textbefore(Raw_Data!O62," / "),Raw_Data!O62)</f>
        <v>Afternoon / AprÃ¨s-midi</v>
      </c>
      <c r="P62" s="3" t="str">
        <f ca="1">IFERROR(textbefore(Raw_Data!P62," / "),Raw_Data!P62)</f>
        <v>Everywhere / Partout</v>
      </c>
      <c r="Q62" s="3" t="str">
        <f ca="1">IFERROR(textbefore(Raw_Data!Q62," / "),Raw_Data!Q62)</f>
        <v>Moderate / Moyen</v>
      </c>
      <c r="R62" s="3" t="str">
        <f ca="1">IFERROR(textbefore(Raw_Data!R62," / "),Raw_Data!R62)</f>
        <v>Severely / Beaucoup</v>
      </c>
      <c r="S62" s="3" t="str">
        <f ca="1">IFERROR(textbefore(Raw_Data!S62," / "),Raw_Data!S62)</f>
        <v>No / Non</v>
      </c>
      <c r="T62" s="3" t="str">
        <f ca="1">IFERROR(textbefore(Raw_Data!T62," / "),Raw_Data!T62)</f>
        <v>Yes / Oui</v>
      </c>
      <c r="U62" s="3" t="str">
        <f ca="1">IFERROR(textbefore(Raw_Data!U62," / "),Raw_Data!U62)</f>
        <v>Every time / Ã€ chaque fois</v>
      </c>
      <c r="V62" s="3" t="str">
        <f ca="1">IFERROR(textbefore(Raw_Data!V62," / "),Raw_Data!V62)</f>
        <v>Yes / Oui</v>
      </c>
      <c r="W62" s="3" t="str">
        <f ca="1">IFERROR(textbefore(Raw_Data!W62," / "),Raw_Data!W62)</f>
        <v>Privacy / ConfidentialitÃ©;Battery usage / Batterie;Data usage / Consommation de donnÃ©es;Security / SÃ©curitÃ©</v>
      </c>
    </row>
    <row r="63" spans="1:23" ht="24.75" customHeight="1" x14ac:dyDescent="0.35">
      <c r="A63" s="3" t="str">
        <f>Raw_Data!A63</f>
        <v>2026/04/24 10:21:19 AM GMT+1</v>
      </c>
      <c r="B63" s="3" t="str">
        <f>Raw_Data!B63</f>
        <v>diffojordan37@gmail.com</v>
      </c>
      <c r="C63" s="3" t="str">
        <f ca="1">IFERROR(textbefore(Raw_Data!C63," / "),Raw_Data!C63)</f>
        <v>MTN;Camtel</v>
      </c>
      <c r="D63" s="3" t="str">
        <f ca="1">IFERROR(textbefore(Raw_Data!D63," / "),Raw_Data!D63)</f>
        <v>Southwest Region</v>
      </c>
      <c r="E63" s="3" t="str">
        <f ca="1">IFERROR(textbefore(Raw_Data!E63," / "),Raw_Data!E63)</f>
        <v>Android</v>
      </c>
      <c r="F63" s="3" t="str">
        <f ca="1">IFERROR(textbefore(Raw_Data!F63," / "),Raw_Data!F63)</f>
        <v>20-25</v>
      </c>
      <c r="G63" s="3" t="str">
        <f ca="1">IFERROR(textbefore(textbefore(Raw_Data!G63,";")," / "),IFERROR(textbefore(Raw_Data!G63," / "),Raw_Data!G63))</f>
        <v>Very often / TrÃ¨s souvent</v>
      </c>
      <c r="H63" s="3" t="str">
        <f ca="1">IFERROR(textbefore(Raw_Data!H63," / "),Raw_Data!H63)</f>
        <v xml:space="preserve">Social media / RÃ©seaux sociaux;Video streaming / VidÃ©o (YouTube, Netflix);Messaging / Messagerie (WhatsApp, etc.);Online classes/work / Cours ou travail en ligne;Research </v>
      </c>
      <c r="I63" s="3" t="str">
        <f ca="1">IFERROR(textbefore(Raw_Data!I63," / "),Raw_Data!I63)</f>
        <v>Average / Moyenne</v>
      </c>
      <c r="J63" s="3">
        <f>Raw_Data!J63</f>
        <v>3</v>
      </c>
      <c r="K63" s="3" t="str">
        <f ca="1">IFERROR(textbefore(Raw_Data!K63," / "),Raw_Data!K63)</f>
        <v>Average / Moyenne</v>
      </c>
      <c r="L63" s="3" t="str">
        <f ca="1">IFERROR(textbefore(Raw_Data!L63," / "),Raw_Data!L63)</f>
        <v>Often / Souvent</v>
      </c>
      <c r="M63" s="3" t="str">
        <f ca="1">IFERROR(textbefore(Raw_Data!M63," / "),Raw_Data!M63)</f>
        <v>Slow internet / Internet lent</v>
      </c>
      <c r="N63" s="3" t="str">
        <f ca="1">IFERROR(textbefore(Raw_Data!N63," / "),Raw_Data!N63)</f>
        <v>Often / Souvent</v>
      </c>
      <c r="O63" s="3" t="str">
        <f ca="1">IFERROR(textbefore(Raw_Data!O63," / "),Raw_Data!O63)</f>
        <v>Afternoon / AprÃ¨s-midi</v>
      </c>
      <c r="P63" s="3" t="str">
        <f ca="1">IFERROR(textbefore(Raw_Data!P63," / "),Raw_Data!P63)</f>
        <v>Everywhere / Partout</v>
      </c>
      <c r="Q63" s="3" t="str">
        <f ca="1">IFERROR(textbefore(Raw_Data!Q63," / "),Raw_Data!Q63)</f>
        <v>Moderate / Moyen</v>
      </c>
      <c r="R63" s="3" t="str">
        <f ca="1">IFERROR(textbefore(Raw_Data!R63," / "),Raw_Data!R63)</f>
        <v>Moderately / Moyennement</v>
      </c>
      <c r="S63" s="3" t="str">
        <f ca="1">IFERROR(textbefore(Raw_Data!S63," / "),Raw_Data!S63)</f>
        <v>No / Non</v>
      </c>
      <c r="T63" s="3" t="str">
        <f ca="1">IFERROR(textbefore(Raw_Data!T63," / "),Raw_Data!T63)</f>
        <v>No / Non</v>
      </c>
      <c r="U63" s="3" t="str">
        <f ca="1">IFERROR(textbefore(Raw_Data!U63," / "),Raw_Data!U63)</f>
        <v>Only when there is a problem / Seulement en cas de problÃ¨me</v>
      </c>
      <c r="V63" s="3" t="str">
        <f ca="1">IFERROR(textbefore(Raw_Data!V63," / "),Raw_Data!V63)</f>
        <v>No / Non</v>
      </c>
      <c r="W63" s="3" t="str">
        <f ca="1">IFERROR(textbefore(Raw_Data!W63," / "),Raw_Data!W63)</f>
        <v>Security / SÃ©curitÃ©</v>
      </c>
    </row>
    <row r="64" spans="1:23" ht="24.75" customHeight="1" x14ac:dyDescent="0.35">
      <c r="A64" s="3" t="str">
        <f>Raw_Data!A64</f>
        <v>2026/04/24 10:23:56 AM GMT+1</v>
      </c>
      <c r="B64" s="3" t="str">
        <f>Raw_Data!B64</f>
        <v>njodzekareela@gmail.com</v>
      </c>
      <c r="C64" s="3" t="str">
        <f ca="1">IFERROR(textbefore(Raw_Data!C64," / "),Raw_Data!C64)</f>
        <v>MTN</v>
      </c>
      <c r="D64" s="3" t="str">
        <f ca="1">IFERROR(textbefore(Raw_Data!D64," / "),Raw_Data!D64)</f>
        <v>Southwest Region</v>
      </c>
      <c r="E64" s="3" t="str">
        <f ca="1">IFERROR(textbefore(Raw_Data!E64," / "),Raw_Data!E64)</f>
        <v>Android</v>
      </c>
      <c r="F64" s="3" t="str">
        <f ca="1">IFERROR(textbefore(Raw_Data!F64," / "),Raw_Data!F64)</f>
        <v>20-25</v>
      </c>
      <c r="G64" s="3" t="str">
        <f ca="1">IFERROR(textbefore(textbefore(Raw_Data!G64,";")," / "),IFERROR(textbefore(Raw_Data!G64," / "),Raw_Data!G64))</f>
        <v>Very often / TrÃ¨s souvent</v>
      </c>
      <c r="H64" s="3" t="str">
        <f ca="1">IFERROR(textbefore(Raw_Data!H64," / "),Raw_Data!H64)</f>
        <v>Social media / RÃ©seaux sociaux</v>
      </c>
      <c r="I64" s="3" t="str">
        <f ca="1">IFERROR(textbefore(Raw_Data!I64," / "),Raw_Data!I64)</f>
        <v>Average / Moyenne</v>
      </c>
      <c r="J64" s="3">
        <f>Raw_Data!J64</f>
        <v>3</v>
      </c>
      <c r="K64" s="3" t="str">
        <f ca="1">IFERROR(textbefore(Raw_Data!K64," / "),Raw_Data!K64)</f>
        <v>Poor / Instable</v>
      </c>
      <c r="L64" s="3" t="str">
        <f ca="1">IFERROR(textbefore(Raw_Data!L64," / "),Raw_Data!L64)</f>
        <v>Sometimes / Parfois</v>
      </c>
      <c r="M64" s="3" t="str">
        <f ca="1">IFERROR(textbefore(Raw_Data!M64," / "),Raw_Data!M64)</f>
        <v>Slow internet / Internet lent</v>
      </c>
      <c r="N64" s="3" t="str">
        <f ca="1">IFERROR(textbefore(Raw_Data!N64," / "),Raw_Data!N64)</f>
        <v>Sometimes / Parfois</v>
      </c>
      <c r="O64" s="3" t="str">
        <f ca="1">IFERROR(textbefore(Raw_Data!O64," / "),Raw_Data!O64)</f>
        <v>Evening / Soir</v>
      </c>
      <c r="P64" s="3" t="str">
        <f ca="1">IFERROR(textbefore(Raw_Data!P64," / "),Raw_Data!P64)</f>
        <v>School/Work / Ã‰cole/Travail</v>
      </c>
      <c r="Q64" s="3" t="str">
        <f ca="1">IFERROR(textbefore(Raw_Data!Q64," / "),Raw_Data!Q64)</f>
        <v>Moderate / Moyen</v>
      </c>
      <c r="R64" s="3" t="str">
        <f ca="1">IFERROR(textbefore(Raw_Data!R64," / "),Raw_Data!R64)</f>
        <v>Moderately / Moyennement</v>
      </c>
      <c r="S64" s="3" t="str">
        <f ca="1">IFERROR(textbefore(Raw_Data!S64," / "),Raw_Data!S64)</f>
        <v>Yes / Oui</v>
      </c>
      <c r="T64" s="3" t="str">
        <f ca="1">IFERROR(textbefore(Raw_Data!T64," / "),Raw_Data!T64)</f>
        <v>Yes / Oui</v>
      </c>
      <c r="U64" s="3" t="str">
        <f ca="1">IFERROR(textbefore(Raw_Data!U64," / "),Raw_Data!U64)</f>
        <v>Only when there is a problem / Seulement en cas de problÃ¨me</v>
      </c>
      <c r="V64" s="3" t="str">
        <f ca="1">IFERROR(textbefore(Raw_Data!V64," / "),Raw_Data!V64)</f>
        <v>Yes / Oui</v>
      </c>
      <c r="W64" s="3" t="str">
        <f ca="1">IFERROR(textbefore(Raw_Data!W64," / "),Raw_Data!W64)</f>
        <v>Data usage / Consommation de donnÃ©es</v>
      </c>
    </row>
    <row r="65" spans="1:23" ht="24.75" customHeight="1" x14ac:dyDescent="0.35">
      <c r="A65" s="3" t="str">
        <f>Raw_Data!A65</f>
        <v>2026/04/24 10:29:35 AM GMT+1</v>
      </c>
      <c r="B65" s="3" t="str">
        <f>Raw_Data!B65</f>
        <v>w31449331@gmail.com</v>
      </c>
      <c r="C65" s="3" t="str">
        <f ca="1">IFERROR(textbefore(Raw_Data!C65," / "),Raw_Data!C65)</f>
        <v>Orange</v>
      </c>
      <c r="D65" s="3" t="str">
        <f ca="1">IFERROR(textbefore(Raw_Data!D65," / "),Raw_Data!D65)</f>
        <v>Littoral Region</v>
      </c>
      <c r="E65" s="3" t="str">
        <f ca="1">IFERROR(textbefore(Raw_Data!E65," / "),Raw_Data!E65)</f>
        <v>iPhone</v>
      </c>
      <c r="F65" s="3" t="str">
        <f ca="1">IFERROR(textbefore(Raw_Data!F65," / "),Raw_Data!F65)</f>
        <v>20-25</v>
      </c>
      <c r="G65" s="3" t="str">
        <f ca="1">IFERROR(textbefore(textbefore(Raw_Data!G65,";")," / "),IFERROR(textbefore(Raw_Data!G65," / "),Raw_Data!G65))</f>
        <v>Very often / TrÃ¨s souvent</v>
      </c>
      <c r="H65" s="3" t="str">
        <f ca="1">IFERROR(textbefore(Raw_Data!H65," / "),Raw_Data!H65)</f>
        <v>Social media / RÃ©seaux sociaux</v>
      </c>
      <c r="I65" s="3" t="str">
        <f ca="1">IFERROR(textbefore(Raw_Data!I65," / "),Raw_Data!I65)</f>
        <v>Good / Bonne</v>
      </c>
      <c r="J65" s="3">
        <f>Raw_Data!J65</f>
        <v>4</v>
      </c>
      <c r="K65" s="3" t="str">
        <f ca="1">IFERROR(textbefore(Raw_Data!K65," / "),Raw_Data!K65)</f>
        <v>Good / Stable</v>
      </c>
      <c r="L65" s="3" t="str">
        <f ca="1">IFERROR(textbefore(Raw_Data!L65," / "),Raw_Data!L65)</f>
        <v>Sometimes / Parfois</v>
      </c>
      <c r="M65" s="3" t="str">
        <f ca="1">IFERROR(textbefore(Raw_Data!M65," / "),Raw_Data!M65)</f>
        <v>Network outages / Pannes rÃ©seau</v>
      </c>
      <c r="N65" s="3" t="str">
        <f ca="1">IFERROR(textbefore(Raw_Data!N65," / "),Raw_Data!N65)</f>
        <v>Sometimes / Parfois</v>
      </c>
      <c r="O65" s="3" t="str">
        <f ca="1">IFERROR(textbefore(Raw_Data!O65," / "),Raw_Data!O65)</f>
        <v>Evening / Soir</v>
      </c>
      <c r="P65" s="3" t="str">
        <f ca="1">IFERROR(textbefore(Raw_Data!P65," / "),Raw_Data!P65)</f>
        <v>School/Work / Ã‰cole/Travail</v>
      </c>
      <c r="Q65" s="3" t="str">
        <f ca="1">IFERROR(textbefore(Raw_Data!Q65," / "),Raw_Data!Q65)</f>
        <v>Strong / Fort</v>
      </c>
      <c r="R65" s="3" t="str">
        <f ca="1">IFERROR(textbefore(Raw_Data!R65," / "),Raw_Data!R65)</f>
        <v>Slightly / Un peu</v>
      </c>
      <c r="S65" s="3" t="str">
        <f ca="1">IFERROR(textbefore(Raw_Data!S65," / "),Raw_Data!S65)</f>
        <v>No / Non</v>
      </c>
      <c r="T65" s="3" t="str">
        <f ca="1">IFERROR(textbefore(Raw_Data!T65," / "),Raw_Data!T65)</f>
        <v>No / Non</v>
      </c>
      <c r="U65" s="3" t="str">
        <f ca="1">IFERROR(textbefore(Raw_Data!U65," / "),Raw_Data!U65)</f>
        <v>Never / Jamais</v>
      </c>
      <c r="V65" s="3" t="str">
        <f ca="1">IFERROR(textbefore(Raw_Data!V65," / "),Raw_Data!V65)</f>
        <v>No / Non</v>
      </c>
      <c r="W65" s="3" t="str">
        <f ca="1">IFERROR(textbefore(Raw_Data!W65," / "),Raw_Data!W65)</f>
        <v>Data usage / Consommation de donnÃ©es</v>
      </c>
    </row>
    <row r="66" spans="1:23" ht="24.75" customHeight="1" x14ac:dyDescent="0.35">
      <c r="A66" s="3" t="str">
        <f>Raw_Data!A66</f>
        <v>2026/04/24 10:50:44 AM GMT+1</v>
      </c>
      <c r="B66" s="3" t="str">
        <f>Raw_Data!B66</f>
        <v>orchellenanfack049@gmail.com</v>
      </c>
      <c r="C66" s="3" t="str">
        <f ca="1">IFERROR(textbefore(Raw_Data!C66," / "),Raw_Data!C66)</f>
        <v>Camtel</v>
      </c>
      <c r="D66" s="3" t="str">
        <f ca="1">IFERROR(textbefore(Raw_Data!D66," / "),Raw_Data!D66)</f>
        <v>Southwest Region</v>
      </c>
      <c r="E66" s="3" t="str">
        <f ca="1">IFERROR(textbefore(Raw_Data!E66," / "),Raw_Data!E66)</f>
        <v>Android</v>
      </c>
      <c r="F66" s="3" t="str">
        <f ca="1">IFERROR(textbefore(Raw_Data!F66," / "),Raw_Data!F66)</f>
        <v>15-20</v>
      </c>
      <c r="G66" s="3" t="str">
        <f ca="1">IFERROR(textbefore(textbefore(Raw_Data!G66,";")," / "),IFERROR(textbefore(Raw_Data!G66," / "),Raw_Data!G66))</f>
        <v>Very often / TrÃ¨s souvent</v>
      </c>
      <c r="H66" s="3" t="str">
        <f ca="1">IFERROR(textbefore(Raw_Data!H66," / "),Raw_Data!H66)</f>
        <v>Online classes/work / Cours ou travail en ligne;</v>
      </c>
      <c r="I66" s="3" t="str">
        <f ca="1">IFERROR(textbefore(Raw_Data!I66," / "),Raw_Data!I66)</f>
        <v>Very Poor / TrÃ¨s mauvaise;Poor / Mauvaise</v>
      </c>
      <c r="J66" s="3">
        <f>Raw_Data!J66</f>
        <v>2</v>
      </c>
      <c r="K66" s="3" t="str">
        <f ca="1">IFERROR(textbefore(Raw_Data!K66," / "),Raw_Data!K66)</f>
        <v>Poor / Instable</v>
      </c>
      <c r="L66" s="3" t="str">
        <f ca="1">IFERROR(textbefore(Raw_Data!L66," / "),Raw_Data!L66)</f>
        <v>Sometimes / Parfois</v>
      </c>
      <c r="M66" s="3" t="str">
        <f ca="1">IFERROR(textbefore(Raw_Data!M66," / "),Raw_Data!M66)</f>
        <v>Call drops / Coupures d'appel;No signal / Pas de rÃ©seau;Poor call quality / Mauvaise qualitÃ© dâ€™appel</v>
      </c>
      <c r="N66" s="3" t="str">
        <f ca="1">IFERROR(textbefore(Raw_Data!N66," / "),Raw_Data!N66)</f>
        <v>Often / Souvent</v>
      </c>
      <c r="O66" s="3" t="str">
        <f ca="1">IFERROR(textbefore(Raw_Data!O66," / "),Raw_Data!O66)</f>
        <v>Morning / Matin</v>
      </c>
      <c r="P66" s="3" t="str">
        <f ca="1">IFERROR(textbefore(Raw_Data!P66," / "),Raw_Data!P66)</f>
        <v>Everywhere / Partout</v>
      </c>
      <c r="Q66" s="3" t="str">
        <f ca="1">IFERROR(textbefore(Raw_Data!Q66," / "),Raw_Data!Q66)</f>
        <v>Moderate / Moyen</v>
      </c>
      <c r="R66" s="3" t="str">
        <f ca="1">IFERROR(textbefore(Raw_Data!R66," / "),Raw_Data!R66)</f>
        <v>Severely / Beaucoup</v>
      </c>
      <c r="S66" s="3" t="str">
        <f ca="1">IFERROR(textbefore(Raw_Data!S66," / "),Raw_Data!S66)</f>
        <v>Yes / Oui</v>
      </c>
      <c r="T66" s="3" t="str">
        <f ca="1">IFERROR(textbefore(Raw_Data!T66," / "),Raw_Data!T66)</f>
        <v>Yes / Oui</v>
      </c>
      <c r="U66" s="3" t="str">
        <f ca="1">IFERROR(textbefore(Raw_Data!U66," / "),Raw_Data!U66)</f>
        <v>Only when there is a problem / Seulement en cas de problÃ¨me</v>
      </c>
      <c r="V66" s="3" t="str">
        <f ca="1">IFERROR(textbefore(Raw_Data!V66," / "),Raw_Data!V66)</f>
        <v>Yes / Oui</v>
      </c>
      <c r="W66" s="3" t="str">
        <f ca="1">IFERROR(textbefore(Raw_Data!W66," / "),Raw_Data!W66)</f>
        <v>Data usage / Consommation de donnÃ©es</v>
      </c>
    </row>
    <row r="67" spans="1:23" ht="24.75" customHeight="1" x14ac:dyDescent="0.35">
      <c r="A67" s="3" t="str">
        <f>Raw_Data!A67</f>
        <v>2026/04/24 10:53:26 AM GMT+1</v>
      </c>
      <c r="B67" s="3" t="str">
        <f>Raw_Data!B67</f>
        <v>tobeypaul3@gmail.com</v>
      </c>
      <c r="C67" s="3" t="str">
        <f ca="1">IFERROR(textbefore(Raw_Data!C67," / "),Raw_Data!C67)</f>
        <v>MTN;Orange</v>
      </c>
      <c r="D67" s="3" t="str">
        <f ca="1">IFERROR(textbefore(Raw_Data!D67," / "),Raw_Data!D67)</f>
        <v>Southwest Region</v>
      </c>
      <c r="E67" s="3" t="str">
        <f ca="1">IFERROR(textbefore(Raw_Data!E67," / "),Raw_Data!E67)</f>
        <v>Android</v>
      </c>
      <c r="F67" s="3" t="str">
        <f ca="1">IFERROR(textbefore(Raw_Data!F67," / "),Raw_Data!F67)</f>
        <v>25 and above</v>
      </c>
      <c r="G67" s="3" t="str">
        <f ca="1">IFERROR(textbefore(textbefore(Raw_Data!G67,";")," / "),IFERROR(textbefore(Raw_Data!G67," / "),Raw_Data!G67))</f>
        <v>Very often / TrÃ¨s souvent</v>
      </c>
      <c r="H67" s="3" t="str">
        <f ca="1">IFERROR(textbefore(Raw_Data!H67," / "),Raw_Data!H67)</f>
        <v>Social media / RÃ©seaux sociaux;Video streaming / VidÃ©o (YouTube, Netflix);Messaging / Messagerie (WhatsApp, etc.);Online classes/work / Cours ou travail en ligne;Browsing / Navigation</v>
      </c>
      <c r="I67" s="3" t="str">
        <f ca="1">IFERROR(textbefore(Raw_Data!I67," / "),Raw_Data!I67)</f>
        <v>Average / Moyenne</v>
      </c>
      <c r="J67" s="3">
        <f>Raw_Data!J67</f>
        <v>3</v>
      </c>
      <c r="K67" s="3" t="str">
        <f ca="1">IFERROR(textbefore(Raw_Data!K67," / "),Raw_Data!K67)</f>
        <v>Poor / Instable</v>
      </c>
      <c r="L67" s="3" t="str">
        <f ca="1">IFERROR(textbefore(Raw_Data!L67," / "),Raw_Data!L67)</f>
        <v>Sometimes / Parfois</v>
      </c>
      <c r="M67" s="3" t="str">
        <f ca="1">IFERROR(textbefore(Raw_Data!M67," / "),Raw_Data!M67)</f>
        <v>Poor call quality / Mauvaise qualitÃ© dâ€™appel</v>
      </c>
      <c r="N67" s="3" t="str">
        <f ca="1">IFERROR(textbefore(Raw_Data!N67," / "),Raw_Data!N67)</f>
        <v>Often / Souvent</v>
      </c>
      <c r="O67" s="3" t="str">
        <f ca="1">IFERROR(textbefore(Raw_Data!O67," / "),Raw_Data!O67)</f>
        <v>Afternoon / AprÃ¨s-midi</v>
      </c>
      <c r="P67" s="3" t="str">
        <f ca="1">IFERROR(textbefore(Raw_Data!P67," / "),Raw_Data!P67)</f>
        <v>Everywhere / Partout</v>
      </c>
      <c r="Q67" s="3" t="str">
        <f ca="1">IFERROR(textbefore(Raw_Data!Q67," / "),Raw_Data!Q67)</f>
        <v>Moderate / Moyen</v>
      </c>
      <c r="R67" s="3" t="str">
        <f ca="1">IFERROR(textbefore(Raw_Data!R67," / "),Raw_Data!R67)</f>
        <v>Severely / Beaucoup</v>
      </c>
      <c r="S67" s="3" t="str">
        <f ca="1">IFERROR(textbefore(Raw_Data!S67," / "),Raw_Data!S67)</f>
        <v>Yes / Oui</v>
      </c>
      <c r="T67" s="3" t="str">
        <f ca="1">IFERROR(textbefore(Raw_Data!T67," / "),Raw_Data!T67)</f>
        <v>Yes / Oui</v>
      </c>
      <c r="U67" s="3" t="str">
        <f ca="1">IFERROR(textbefore(Raw_Data!U67," / "),Raw_Data!U67)</f>
        <v>Once a day / Une fois par jour</v>
      </c>
      <c r="V67" s="3" t="str">
        <f ca="1">IFERROR(textbefore(Raw_Data!V67," / "),Raw_Data!V67)</f>
        <v>Yes / Oui</v>
      </c>
      <c r="W67" s="3" t="str">
        <f ca="1">IFERROR(textbefore(Raw_Data!W67," / "),Raw_Data!W67)</f>
        <v>Privacy / ConfidentialitÃ©;Battery usage / Batterie;Data usage / Consommation de donnÃ©es;Security / SÃ©curitÃ©</v>
      </c>
    </row>
    <row r="68" spans="1:23" ht="24.75" customHeight="1" x14ac:dyDescent="0.35">
      <c r="A68" s="3" t="str">
        <f>Raw_Data!A68</f>
        <v>2026/04/24 10:59:37 AM GMT+1</v>
      </c>
      <c r="B68" s="3" t="str">
        <f>Raw_Data!B68</f>
        <v>favourfowfief@gmail.com</v>
      </c>
      <c r="C68" s="3" t="str">
        <f ca="1">IFERROR(textbefore(Raw_Data!C68," / "),Raw_Data!C68)</f>
        <v>MTN</v>
      </c>
      <c r="D68" s="3" t="str">
        <f ca="1">IFERROR(textbefore(Raw_Data!D68," / "),Raw_Data!D68)</f>
        <v>Southwest Region</v>
      </c>
      <c r="E68" s="3" t="str">
        <f ca="1">IFERROR(textbefore(Raw_Data!E68," / "),Raw_Data!E68)</f>
        <v>iPhone</v>
      </c>
      <c r="F68" s="3" t="str">
        <f ca="1">IFERROR(textbefore(Raw_Data!F68," / "),Raw_Data!F68)</f>
        <v>20-25</v>
      </c>
      <c r="G68" s="3" t="str">
        <f ca="1">IFERROR(textbefore(textbefore(Raw_Data!G68,";")," / "),IFERROR(textbefore(Raw_Data!G68," / "),Raw_Data!G68))</f>
        <v>Very often / TrÃ¨s souvent</v>
      </c>
      <c r="H68" s="3" t="str">
        <f ca="1">IFERROR(textbefore(Raw_Data!H68," / "),Raw_Data!H68)</f>
        <v>Social media / RÃ©seaux sociaux;Video streaming / VidÃ©o (YouTube, Netflix);Messaging / Messagerie (WhatsApp, etc.);Online classes/work / Cours ou travail en ligne;Gaming / Jeux;Browsing / Navigation</v>
      </c>
      <c r="I68" s="3" t="str">
        <f ca="1">IFERROR(textbefore(Raw_Data!I68," / "),Raw_Data!I68)</f>
        <v>Poor / Mauvaise</v>
      </c>
      <c r="J68" s="3">
        <f>Raw_Data!J68</f>
        <v>2</v>
      </c>
      <c r="K68" s="3" t="str">
        <f ca="1">IFERROR(textbefore(Raw_Data!K68," / "),Raw_Data!K68)</f>
        <v>Very Poor / TrÃ¨s instable</v>
      </c>
      <c r="L68" s="3" t="str">
        <f ca="1">IFERROR(textbefore(Raw_Data!L68," / "),Raw_Data!L68)</f>
        <v>Often / Souvent</v>
      </c>
      <c r="M68" s="3" t="str">
        <f ca="1">IFERROR(textbefore(Raw_Data!M68," / "),Raw_Data!M68)</f>
        <v>Slow internet / Internet lent</v>
      </c>
      <c r="N68" s="3" t="str">
        <f ca="1">IFERROR(textbefore(Raw_Data!N68," / "),Raw_Data!N68)</f>
        <v>Often / Souvent</v>
      </c>
      <c r="O68" s="3" t="str">
        <f ca="1">IFERROR(textbefore(Raw_Data!O68," / "),Raw_Data!O68)</f>
        <v>Evening / Soir</v>
      </c>
      <c r="P68" s="3" t="str">
        <f ca="1">IFERROR(textbefore(Raw_Data!P68," / "),Raw_Data!P68)</f>
        <v>Everywhere / Partout</v>
      </c>
      <c r="Q68" s="3" t="str">
        <f ca="1">IFERROR(textbefore(Raw_Data!Q68," / "),Raw_Data!Q68)</f>
        <v>Weak / Faible</v>
      </c>
      <c r="R68" s="3" t="str">
        <f ca="1">IFERROR(textbefore(Raw_Data!R68," / "),Raw_Data!R68)</f>
        <v>Severely / Beaucoup</v>
      </c>
      <c r="S68" s="3" t="str">
        <f ca="1">IFERROR(textbefore(Raw_Data!S68," / "),Raw_Data!S68)</f>
        <v>Yes / Oui</v>
      </c>
      <c r="T68" s="3" t="str">
        <f ca="1">IFERROR(textbefore(Raw_Data!T68," / "),Raw_Data!T68)</f>
        <v>Yes / Oui</v>
      </c>
      <c r="U68" s="3" t="str">
        <f ca="1">IFERROR(textbefore(Raw_Data!U68," / "),Raw_Data!U68)</f>
        <v>Only when there is a problem / Seulement en cas de problÃ¨me</v>
      </c>
      <c r="V68" s="3" t="str">
        <f ca="1">IFERROR(textbefore(Raw_Data!V68," / "),Raw_Data!V68)</f>
        <v>No / Non</v>
      </c>
      <c r="W68" s="3" t="str">
        <f ca="1">IFERROR(textbefore(Raw_Data!W68," / "),Raw_Data!W68)</f>
        <v>Privacy / ConfidentialitÃ©;Battery usage / Batterie;Data usage / Consommation de donnÃ©es;Security / SÃ©curitÃ©</v>
      </c>
    </row>
    <row r="69" spans="1:23" ht="24.75" customHeight="1" x14ac:dyDescent="0.35">
      <c r="A69" s="3" t="str">
        <f>Raw_Data!A69</f>
        <v>2026/04/24 11:02:58 AM GMT+1</v>
      </c>
      <c r="B69" s="3" t="str">
        <f>Raw_Data!B69</f>
        <v>nfamalando@gmail.com</v>
      </c>
      <c r="C69" s="3" t="str">
        <f ca="1">IFERROR(textbefore(Raw_Data!C69," / "),Raw_Data!C69)</f>
        <v>MTN</v>
      </c>
      <c r="D69" s="3" t="str">
        <f ca="1">IFERROR(textbefore(Raw_Data!D69," / "),Raw_Data!D69)</f>
        <v>Littoral Region</v>
      </c>
      <c r="E69" s="3" t="str">
        <f ca="1">IFERROR(textbefore(Raw_Data!E69," / "),Raw_Data!E69)</f>
        <v>Android</v>
      </c>
      <c r="F69" s="3" t="str">
        <f ca="1">IFERROR(textbefore(Raw_Data!F69," / "),Raw_Data!F69)</f>
        <v>25 and above</v>
      </c>
      <c r="G69" s="3" t="str">
        <f ca="1">IFERROR(textbefore(textbefore(Raw_Data!G69,";")," / "),IFERROR(textbefore(Raw_Data!G69," / "),Raw_Data!G69))</f>
        <v>Very often / TrÃ¨s souvent</v>
      </c>
      <c r="H69" s="3" t="str">
        <f ca="1">IFERROR(textbefore(Raw_Data!H69," / "),Raw_Data!H69)</f>
        <v>Social media / RÃ©seaux sociaux;Video streaming / VidÃ©o (YouTube, Netflix);Messaging / Messagerie (WhatsApp, etc.);Online classes/work / Cours ou travail en ligne;Gaming / Jeux;Browsing / Navigation</v>
      </c>
      <c r="I69" s="3" t="str">
        <f ca="1">IFERROR(textbefore(Raw_Data!I69," / "),Raw_Data!I69)</f>
        <v>Average / Moyenne</v>
      </c>
      <c r="J69" s="3">
        <f>Raw_Data!J69</f>
        <v>3</v>
      </c>
      <c r="K69" s="3" t="str">
        <f ca="1">IFERROR(textbefore(Raw_Data!K69," / "),Raw_Data!K69)</f>
        <v>Average / Moyenne</v>
      </c>
      <c r="L69" s="3" t="str">
        <f ca="1">IFERROR(textbefore(Raw_Data!L69," / "),Raw_Data!L69)</f>
        <v>Sometimes / Parfois</v>
      </c>
      <c r="M69" s="3" t="str">
        <f ca="1">IFERROR(textbefore(Raw_Data!M69," / "),Raw_Data!M69)</f>
        <v>Slow internet / Internet lent;Poor call quality / Mauvaise qualitÃ© dâ€™appel;Network outages / Pannes rÃ©seau</v>
      </c>
      <c r="N69" s="3" t="str">
        <f ca="1">IFERROR(textbefore(Raw_Data!N69," / "),Raw_Data!N69)</f>
        <v>Sometimes / Parfois</v>
      </c>
      <c r="O69" s="3" t="str">
        <f ca="1">IFERROR(textbefore(Raw_Data!O69," / "),Raw_Data!O69)</f>
        <v>Night / Nuit</v>
      </c>
      <c r="P69" s="3" t="str">
        <f ca="1">IFERROR(textbefore(Raw_Data!P69," / "),Raw_Data!P69)</f>
        <v>Everywhere / Partout</v>
      </c>
      <c r="Q69" s="3" t="str">
        <f ca="1">IFERROR(textbefore(Raw_Data!Q69," / "),Raw_Data!Q69)</f>
        <v>Moderate / Moyen</v>
      </c>
      <c r="R69" s="3" t="str">
        <f ca="1">IFERROR(textbefore(Raw_Data!R69," / "),Raw_Data!R69)</f>
        <v>Moderately / Moyennement</v>
      </c>
      <c r="S69" s="3" t="str">
        <f ca="1">IFERROR(textbefore(Raw_Data!S69," / "),Raw_Data!S69)</f>
        <v>No / Non</v>
      </c>
      <c r="T69" s="3" t="str">
        <f ca="1">IFERROR(textbefore(Raw_Data!T69," / "),Raw_Data!T69)</f>
        <v>Yes / Oui</v>
      </c>
      <c r="U69" s="3" t="str">
        <f ca="1">IFERROR(textbefore(Raw_Data!U69," / "),Raw_Data!U69)</f>
        <v>Only when there is a problem / Seulement en cas de problÃ¨me</v>
      </c>
      <c r="V69" s="3" t="str">
        <f ca="1">IFERROR(textbefore(Raw_Data!V69," / "),Raw_Data!V69)</f>
        <v>Yes / Oui</v>
      </c>
      <c r="W69" s="3" t="str">
        <f ca="1">IFERROR(textbefore(Raw_Data!W69," / "),Raw_Data!W69)</f>
        <v>Privacy / ConfidentialitÃ©;Battery usage / Batterie;Data usage / Consommation de donnÃ©es;Security / SÃ©curitÃ©</v>
      </c>
    </row>
    <row r="70" spans="1:23" ht="24.75" customHeight="1" x14ac:dyDescent="0.35">
      <c r="A70" s="3" t="str">
        <f>Raw_Data!A70</f>
        <v>2026/04/24 11:03:58 AM GMT+1</v>
      </c>
      <c r="B70" s="3" t="str">
        <f>Raw_Data!B70</f>
        <v>chahkeziah@gmail.com</v>
      </c>
      <c r="C70" s="3" t="str">
        <f ca="1">IFERROR(textbefore(Raw_Data!C70," / "),Raw_Data!C70)</f>
        <v>MTN</v>
      </c>
      <c r="D70" s="3" t="str">
        <f ca="1">IFERROR(textbefore(Raw_Data!D70," / "),Raw_Data!D70)</f>
        <v>Southwest Region</v>
      </c>
      <c r="E70" s="3" t="str">
        <f ca="1">IFERROR(textbefore(Raw_Data!E70," / "),Raw_Data!E70)</f>
        <v>iPhone</v>
      </c>
      <c r="F70" s="3" t="str">
        <f ca="1">IFERROR(textbefore(Raw_Data!F70," / "),Raw_Data!F70)</f>
        <v>20-25</v>
      </c>
      <c r="G70" s="3" t="str">
        <f ca="1">IFERROR(textbefore(textbefore(Raw_Data!G70,";")," / "),IFERROR(textbefore(Raw_Data!G70," / "),Raw_Data!G70))</f>
        <v>Very often / TrÃ¨s souvent</v>
      </c>
      <c r="H70" s="3" t="str">
        <f ca="1">IFERROR(textbefore(Raw_Data!H70," / "),Raw_Data!H70)</f>
        <v>Social media / RÃ©seaux sociaux</v>
      </c>
      <c r="I70" s="3" t="str">
        <f ca="1">IFERROR(textbefore(Raw_Data!I70," / "),Raw_Data!I70)</f>
        <v>Average / Moyenne</v>
      </c>
      <c r="J70" s="3">
        <f>Raw_Data!J70</f>
        <v>2</v>
      </c>
      <c r="K70" s="3" t="str">
        <f ca="1">IFERROR(textbefore(Raw_Data!K70," / "),Raw_Data!K70)</f>
        <v>Poor / Instable</v>
      </c>
      <c r="L70" s="3" t="str">
        <f ca="1">IFERROR(textbefore(Raw_Data!L70," / "),Raw_Data!L70)</f>
        <v>Sometimes / Parfois</v>
      </c>
      <c r="M70" s="3" t="str">
        <f ca="1">IFERROR(textbefore(Raw_Data!M70," / "),Raw_Data!M70)</f>
        <v>Slow internet / Internet lent</v>
      </c>
      <c r="N70" s="3" t="str">
        <f ca="1">IFERROR(textbefore(Raw_Data!N70," / "),Raw_Data!N70)</f>
        <v>Often / Souvent</v>
      </c>
      <c r="O70" s="3" t="str">
        <f ca="1">IFERROR(textbefore(Raw_Data!O70," / "),Raw_Data!O70)</f>
        <v>Evening / Soir</v>
      </c>
      <c r="P70" s="3" t="str">
        <f ca="1">IFERROR(textbefore(Raw_Data!P70," / "),Raw_Data!P70)</f>
        <v>School/Work / Ã‰cole/Travail</v>
      </c>
      <c r="Q70" s="3" t="str">
        <f ca="1">IFERROR(textbefore(Raw_Data!Q70," / "),Raw_Data!Q70)</f>
        <v>Moderate / Moyen</v>
      </c>
      <c r="R70" s="3" t="str">
        <f ca="1">IFERROR(textbefore(Raw_Data!R70," / "),Raw_Data!R70)</f>
        <v>Moderately / Moyennement</v>
      </c>
      <c r="S70" s="3" t="str">
        <f ca="1">IFERROR(textbefore(Raw_Data!S70," / "),Raw_Data!S70)</f>
        <v>Yes / Oui</v>
      </c>
      <c r="T70" s="3">
        <f ca="1">IFERROR(textbefore(Raw_Data!T70," / "),Raw_Data!T70)</f>
        <v>0</v>
      </c>
      <c r="U70" s="3" t="str">
        <f ca="1">IFERROR(textbefore(Raw_Data!U70," / "),Raw_Data!U70)</f>
        <v>Only when there is a problem / Seulement en cas de problÃ¨me</v>
      </c>
      <c r="V70" s="3" t="str">
        <f ca="1">IFERROR(textbefore(Raw_Data!V70," / "),Raw_Data!V70)</f>
        <v>No / Non</v>
      </c>
      <c r="W70" s="3" t="str">
        <f ca="1">IFERROR(textbefore(Raw_Data!W70," / "),Raw_Data!W70)</f>
        <v>Data usage / Consommation de donnÃ©es</v>
      </c>
    </row>
    <row r="71" spans="1:23" ht="24.75" customHeight="1" x14ac:dyDescent="0.35">
      <c r="A71" s="3" t="str">
        <f>Raw_Data!A71</f>
        <v>2026/04/24 11:04:40 AM GMT+1</v>
      </c>
      <c r="B71" s="3" t="str">
        <f>Raw_Data!B71</f>
        <v>davidharry870dh3819725@gmail.com</v>
      </c>
      <c r="C71" s="3" t="str">
        <f ca="1">IFERROR(textbefore(Raw_Data!C71," / "),Raw_Data!C71)</f>
        <v>MTN;Orange;Camtel</v>
      </c>
      <c r="D71" s="3" t="str">
        <f ca="1">IFERROR(textbefore(Raw_Data!D71," / "),Raw_Data!D71)</f>
        <v>Littoral Region</v>
      </c>
      <c r="E71" s="3" t="str">
        <f ca="1">IFERROR(textbefore(Raw_Data!E71," / "),Raw_Data!E71)</f>
        <v>Android;iPhone</v>
      </c>
      <c r="F71" s="3" t="str">
        <f ca="1">IFERROR(textbefore(Raw_Data!F71," / "),Raw_Data!F71)</f>
        <v>20-25</v>
      </c>
      <c r="G71" s="3" t="str">
        <f ca="1">IFERROR(textbefore(textbefore(Raw_Data!G71,";")," / "),IFERROR(textbefore(Raw_Data!G71," / "),Raw_Data!G71))</f>
        <v>Very often / TrÃ¨s souvent</v>
      </c>
      <c r="H71" s="3" t="str">
        <f ca="1">IFERROR(textbefore(Raw_Data!H71," / "),Raw_Data!H71)</f>
        <v>Social media / RÃ©seaux sociaux;Video streaming / VidÃ©o (YouTube, Netflix);Messaging / Messagerie (WhatsApp, etc.);Online classes/work / Cours ou travail en ligne;Gaming / Jeux;Browsing / Navigation</v>
      </c>
      <c r="I71" s="3" t="str">
        <f ca="1">IFERROR(textbefore(Raw_Data!I71," / "),Raw_Data!I71)</f>
        <v>Average / Moyenne;Good / Bonne</v>
      </c>
      <c r="J71" s="3">
        <f>Raw_Data!J71</f>
        <v>3</v>
      </c>
      <c r="K71" s="3" t="str">
        <f ca="1">IFERROR(textbefore(Raw_Data!K71," / "),Raw_Data!K71)</f>
        <v>Good / Stable</v>
      </c>
      <c r="L71" s="3" t="str">
        <f ca="1">IFERROR(textbefore(Raw_Data!L71," / "),Raw_Data!L71)</f>
        <v>Rarely / Rarement</v>
      </c>
      <c r="M71" s="3" t="str">
        <f ca="1">IFERROR(textbefore(Raw_Data!M71," / "),Raw_Data!M71)</f>
        <v>Slow internet / Internet lent</v>
      </c>
      <c r="N71" s="3" t="str">
        <f ca="1">IFERROR(textbefore(Raw_Data!N71," / "),Raw_Data!N71)</f>
        <v>Rarely / Rarement</v>
      </c>
      <c r="O71" s="3" t="str">
        <f ca="1">IFERROR(textbefore(Raw_Data!O71," / "),Raw_Data!O71)</f>
        <v>Evening / Soir</v>
      </c>
      <c r="P71" s="3" t="str">
        <f ca="1">IFERROR(textbefore(Raw_Data!P71," / "),Raw_Data!P71)</f>
        <v>School/Work / Ã‰cole/Travail</v>
      </c>
      <c r="Q71" s="3" t="str">
        <f ca="1">IFERROR(textbefore(Raw_Data!Q71," / "),Raw_Data!Q71)</f>
        <v>Moderate / Moyen</v>
      </c>
      <c r="R71" s="3" t="str">
        <f ca="1">IFERROR(textbefore(Raw_Data!R71," / "),Raw_Data!R71)</f>
        <v>Severely / Beaucoup</v>
      </c>
      <c r="S71" s="3" t="str">
        <f ca="1">IFERROR(textbefore(Raw_Data!S71," / "),Raw_Data!S71)</f>
        <v>Yes / Oui</v>
      </c>
      <c r="T71" s="3" t="str">
        <f ca="1">IFERROR(textbefore(Raw_Data!T71," / "),Raw_Data!T71)</f>
        <v>No / Non</v>
      </c>
      <c r="U71" s="3" t="str">
        <f ca="1">IFERROR(textbefore(Raw_Data!U71," / "),Raw_Data!U71)</f>
        <v>Once a day / Une fois par jour</v>
      </c>
      <c r="V71" s="3" t="str">
        <f ca="1">IFERROR(textbefore(Raw_Data!V71," / "),Raw_Data!V71)</f>
        <v>Yes / Oui</v>
      </c>
      <c r="W71" s="3" t="str">
        <f ca="1">IFERROR(textbefore(Raw_Data!W71," / "),Raw_Data!W71)</f>
        <v>Privacy / ConfidentialitÃ©</v>
      </c>
    </row>
    <row r="72" spans="1:23" ht="24.75" customHeight="1" x14ac:dyDescent="0.35">
      <c r="A72" s="3" t="str">
        <f>Raw_Data!A72</f>
        <v>2026/04/24 11:13:07 AM GMT+1</v>
      </c>
      <c r="B72" s="3" t="str">
        <f>Raw_Data!B72</f>
        <v>mouminihadamu@gmail.com</v>
      </c>
      <c r="C72" s="3" t="str">
        <f ca="1">IFERROR(textbefore(Raw_Data!C72," / "),Raw_Data!C72)</f>
        <v>MTN;Orange;Camtel</v>
      </c>
      <c r="D72" s="3" t="str">
        <f ca="1">IFERROR(textbefore(Raw_Data!D72," / "),Raw_Data!D72)</f>
        <v>Southwest Region</v>
      </c>
      <c r="E72" s="3" t="str">
        <f ca="1">IFERROR(textbefore(Raw_Data!E72," / "),Raw_Data!E72)</f>
        <v>Android;iPhone</v>
      </c>
      <c r="F72" s="3" t="str">
        <f ca="1">IFERROR(textbefore(Raw_Data!F72," / "),Raw_Data!F72)</f>
        <v>20-25</v>
      </c>
      <c r="G72" s="3" t="str">
        <f ca="1">IFERROR(textbefore(textbefore(Raw_Data!G72,";")," / "),IFERROR(textbefore(Raw_Data!G72," / "),Raw_Data!G72))</f>
        <v>Very often / TrÃ¨s souvent</v>
      </c>
      <c r="H72" s="3" t="str">
        <f ca="1">IFERROR(textbefore(Raw_Data!H72," / "),Raw_Data!H72)</f>
        <v>Social media / RÃ©seaux sociaux;Messaging / Messagerie (WhatsApp, etc.);Online classes/work / Cours ou travail en ligne;</v>
      </c>
      <c r="I72" s="3" t="str">
        <f ca="1">IFERROR(textbefore(Raw_Data!I72," / "),Raw_Data!I72)</f>
        <v>Poor / Mauvaise</v>
      </c>
      <c r="J72" s="3">
        <f>Raw_Data!J72</f>
        <v>2</v>
      </c>
      <c r="K72" s="3" t="str">
        <f ca="1">IFERROR(textbefore(Raw_Data!K72," / "),Raw_Data!K72)</f>
        <v>Average / Moyenne</v>
      </c>
      <c r="L72" s="3" t="str">
        <f ca="1">IFERROR(textbefore(Raw_Data!L72," / "),Raw_Data!L72)</f>
        <v>Sometimes / Parfois</v>
      </c>
      <c r="M72" s="3" t="str">
        <f ca="1">IFERROR(textbefore(Raw_Data!M72," / "),Raw_Data!M72)</f>
        <v>Slow internet / Internet lent;Poor call quality / Mauvaise qualitÃ© dâ€™appel;Network outages / Pannes rÃ©seau</v>
      </c>
      <c r="N72" s="3" t="str">
        <f ca="1">IFERROR(textbefore(Raw_Data!N72," / "),Raw_Data!N72)</f>
        <v>Often / Souvent</v>
      </c>
      <c r="O72" s="3" t="str">
        <f ca="1">IFERROR(textbefore(Raw_Data!O72," / "),Raw_Data!O72)</f>
        <v>Night / Nuit</v>
      </c>
      <c r="P72" s="3" t="str">
        <f ca="1">IFERROR(textbefore(Raw_Data!P72," / "),Raw_Data!P72)</f>
        <v>School/Work / Ã‰cole/Travail</v>
      </c>
      <c r="Q72" s="3" t="str">
        <f ca="1">IFERROR(textbefore(Raw_Data!Q72," / "),Raw_Data!Q72)</f>
        <v>Strong / Fort</v>
      </c>
      <c r="R72" s="3" t="str">
        <f ca="1">IFERROR(textbefore(Raw_Data!R72," / "),Raw_Data!R72)</f>
        <v>Moderately / Moyennement</v>
      </c>
      <c r="S72" s="3" t="str">
        <f ca="1">IFERROR(textbefore(Raw_Data!S72," / "),Raw_Data!S72)</f>
        <v>Yes / Oui</v>
      </c>
      <c r="T72" s="3" t="str">
        <f ca="1">IFERROR(textbefore(Raw_Data!T72," / "),Raw_Data!T72)</f>
        <v>No / Non</v>
      </c>
      <c r="U72" s="3" t="str">
        <f ca="1">IFERROR(textbefore(Raw_Data!U72," / "),Raw_Data!U72)</f>
        <v>Only when there is a problem / Seulement en cas de problÃ¨me</v>
      </c>
      <c r="V72" s="3" t="str">
        <f ca="1">IFERROR(textbefore(Raw_Data!V72," / "),Raw_Data!V72)</f>
        <v>No / Non</v>
      </c>
      <c r="W72" s="3" t="str">
        <f ca="1">IFERROR(textbefore(Raw_Data!W72," / "),Raw_Data!W72)</f>
        <v>Privacy / ConfidentialitÃ©;Security / SÃ©curitÃ©</v>
      </c>
    </row>
    <row r="73" spans="1:23" ht="24.75" customHeight="1" x14ac:dyDescent="0.35">
      <c r="A73" s="3" t="str">
        <f>Raw_Data!A73</f>
        <v>2026/04/24 11:13:37 AM GMT+1</v>
      </c>
      <c r="B73" s="3" t="str">
        <f>Raw_Data!B73</f>
        <v>elsawhitney162@gmail.com</v>
      </c>
      <c r="C73" s="3" t="str">
        <f ca="1">IFERROR(textbefore(Raw_Data!C73," / "),Raw_Data!C73)</f>
        <v>MTN</v>
      </c>
      <c r="D73" s="3" t="str">
        <f ca="1">IFERROR(textbefore(Raw_Data!D73," / "),Raw_Data!D73)</f>
        <v>Southwest Region</v>
      </c>
      <c r="E73" s="3" t="str">
        <f ca="1">IFERROR(textbefore(Raw_Data!E73," / "),Raw_Data!E73)</f>
        <v>Android</v>
      </c>
      <c r="F73" s="3" t="str">
        <f ca="1">IFERROR(textbefore(Raw_Data!F73," / "),Raw_Data!F73)</f>
        <v>15-20</v>
      </c>
      <c r="G73" s="3" t="str">
        <f ca="1">IFERROR(textbefore(textbefore(Raw_Data!G73,";")," / "),IFERROR(textbefore(Raw_Data!G73," / "),Raw_Data!G73))</f>
        <v>Very often / TrÃ¨s souvent</v>
      </c>
      <c r="H73" s="3" t="str">
        <f ca="1">IFERROR(textbefore(Raw_Data!H73," / "),Raw_Data!H73)</f>
        <v>Social media / RÃ©seaux sociaux;Video streaming / VidÃ©o (YouTube, Netflix);Online classes/work / Cours ou travail en ligne</v>
      </c>
      <c r="I73" s="3" t="str">
        <f ca="1">IFERROR(textbefore(Raw_Data!I73," / "),Raw_Data!I73)</f>
        <v>Very Poor / TrÃ¨s mauvaise</v>
      </c>
      <c r="J73" s="3">
        <f>Raw_Data!J73</f>
        <v>3</v>
      </c>
      <c r="K73" s="3" t="str">
        <f ca="1">IFERROR(textbefore(Raw_Data!K73," / "),Raw_Data!K73)</f>
        <v>Very Poor / TrÃ¨s instable</v>
      </c>
      <c r="L73" s="3" t="str">
        <f ca="1">IFERROR(textbefore(Raw_Data!L73," / "),Raw_Data!L73)</f>
        <v>Sometimes / Parfois</v>
      </c>
      <c r="M73" s="3" t="str">
        <f ca="1">IFERROR(textbefore(Raw_Data!M73," / "),Raw_Data!M73)</f>
        <v>Slow internet / Internet lent</v>
      </c>
      <c r="N73" s="3" t="str">
        <f ca="1">IFERROR(textbefore(Raw_Data!N73," / "),Raw_Data!N73)</f>
        <v>Very often / TrÃ¨s souvent</v>
      </c>
      <c r="O73" s="3" t="str">
        <f ca="1">IFERROR(textbefore(Raw_Data!O73," / "),Raw_Data!O73)</f>
        <v>Afternoon / AprÃ¨s-midi</v>
      </c>
      <c r="P73" s="3" t="str">
        <f ca="1">IFERROR(textbefore(Raw_Data!P73," / "),Raw_Data!P73)</f>
        <v>On the road / En dÃ©placement</v>
      </c>
      <c r="Q73" s="3" t="str">
        <f ca="1">IFERROR(textbefore(Raw_Data!Q73," / "),Raw_Data!Q73)</f>
        <v>Very Weak / TrÃ¨s faible</v>
      </c>
      <c r="R73" s="3" t="str">
        <f ca="1">IFERROR(textbefore(Raw_Data!R73," / "),Raw_Data!R73)</f>
        <v>Severely / Beaucoup</v>
      </c>
      <c r="S73" s="3" t="str">
        <f ca="1">IFERROR(textbefore(Raw_Data!S73," / "),Raw_Data!S73)</f>
        <v>Yes / Oui</v>
      </c>
      <c r="T73" s="3" t="str">
        <f ca="1">IFERROR(textbefore(Raw_Data!T73," / "),Raw_Data!T73)</f>
        <v>Yes / Oui</v>
      </c>
      <c r="U73" s="3" t="str">
        <f ca="1">IFERROR(textbefore(Raw_Data!U73," / "),Raw_Data!U73)</f>
        <v>Every time / Ã€ chaque fois</v>
      </c>
      <c r="V73" s="3" t="str">
        <f ca="1">IFERROR(textbefore(Raw_Data!V73," / "),Raw_Data!V73)</f>
        <v>Yes / Oui</v>
      </c>
      <c r="W73" s="3" t="str">
        <f ca="1">IFERROR(textbefore(Raw_Data!W73," / "),Raw_Data!W73)</f>
        <v>Battery usage / Batterie;Data usage / Consommation de donnÃ©es</v>
      </c>
    </row>
    <row r="74" spans="1:23" ht="24.75" customHeight="1" x14ac:dyDescent="0.35">
      <c r="A74" s="3" t="str">
        <f>Raw_Data!A74</f>
        <v>2026/04/24 11:14:18 AM GMT+1</v>
      </c>
      <c r="B74" s="3" t="str">
        <f>Raw_Data!B74</f>
        <v>samamariette6@gmail.com</v>
      </c>
      <c r="C74" s="3" t="str">
        <f ca="1">IFERROR(textbefore(Raw_Data!C74," / "),Raw_Data!C74)</f>
        <v>MTN</v>
      </c>
      <c r="D74" s="3" t="str">
        <f ca="1">IFERROR(textbefore(Raw_Data!D74," / "),Raw_Data!D74)</f>
        <v>Southwest Region</v>
      </c>
      <c r="E74" s="3" t="str">
        <f ca="1">IFERROR(textbefore(Raw_Data!E74," / "),Raw_Data!E74)</f>
        <v>iPhone</v>
      </c>
      <c r="F74" s="3" t="str">
        <f ca="1">IFERROR(textbefore(Raw_Data!F74," / "),Raw_Data!F74)</f>
        <v>20-25</v>
      </c>
      <c r="G74" s="3" t="str">
        <f ca="1">IFERROR(textbefore(textbefore(Raw_Data!G74,";")," / "),IFERROR(textbefore(Raw_Data!G74," / "),Raw_Data!G74))</f>
        <v>Very often / TrÃ¨s souvent</v>
      </c>
      <c r="H74" s="3" t="str">
        <f ca="1">IFERROR(textbefore(Raw_Data!H74," / "),Raw_Data!H74)</f>
        <v>Social media / RÃ©seaux sociaux;Video streaming / VidÃ©o (YouTube, Netflix);Messaging / Messagerie (WhatsApp, etc.);Online classes/work / Cours ou travail en ligne</v>
      </c>
      <c r="I74" s="3" t="str">
        <f ca="1">IFERROR(textbefore(Raw_Data!I74," / "),Raw_Data!I74)</f>
        <v>Very Poor / TrÃ¨s mauvaise</v>
      </c>
      <c r="J74" s="3">
        <f>Raw_Data!J74</f>
        <v>1</v>
      </c>
      <c r="K74" s="3" t="str">
        <f ca="1">IFERROR(textbefore(Raw_Data!K74," / "),Raw_Data!K74)</f>
        <v>Very Poor / TrÃ¨s instable</v>
      </c>
      <c r="L74" s="3" t="str">
        <f ca="1">IFERROR(textbefore(Raw_Data!L74," / "),Raw_Data!L74)</f>
        <v>Always / Toujours</v>
      </c>
      <c r="M74" s="3" t="str">
        <f ca="1">IFERROR(textbefore(Raw_Data!M74," / "),Raw_Data!M74)</f>
        <v>Slow internet / Internet lent</v>
      </c>
      <c r="N74" s="3" t="str">
        <f ca="1">IFERROR(textbefore(Raw_Data!N74," / "),Raw_Data!N74)</f>
        <v>Very often / TrÃ¨s souvent</v>
      </c>
      <c r="O74" s="3" t="str">
        <f ca="1">IFERROR(textbefore(Raw_Data!O74," / "),Raw_Data!O74)</f>
        <v>Evening / Soir</v>
      </c>
      <c r="P74" s="3" t="str">
        <f ca="1">IFERROR(textbefore(Raw_Data!P74," / "),Raw_Data!P74)</f>
        <v>Everywhere / Partout</v>
      </c>
      <c r="Q74" s="3" t="str">
        <f ca="1">IFERROR(textbefore(Raw_Data!Q74," / "),Raw_Data!Q74)</f>
        <v>Very Weak / TrÃ¨s faible</v>
      </c>
      <c r="R74" s="3" t="str">
        <f ca="1">IFERROR(textbefore(Raw_Data!R74," / "),Raw_Data!R74)</f>
        <v>Severely / Beaucoup</v>
      </c>
      <c r="S74" s="3" t="str">
        <f ca="1">IFERROR(textbefore(Raw_Data!S74," / "),Raw_Data!S74)</f>
        <v>Yes / Oui</v>
      </c>
      <c r="T74" s="3" t="str">
        <f ca="1">IFERROR(textbefore(Raw_Data!T74," / "),Raw_Data!T74)</f>
        <v>No / Non</v>
      </c>
      <c r="U74" s="3" t="str">
        <f ca="1">IFERROR(textbefore(Raw_Data!U74," / "),Raw_Data!U74)</f>
        <v>Only when there is a problem / Seulement en cas de problÃ¨me</v>
      </c>
      <c r="V74" s="3" t="str">
        <f ca="1">IFERROR(textbefore(Raw_Data!V74," / "),Raw_Data!V74)</f>
        <v>No / Non</v>
      </c>
      <c r="W74" s="3" t="str">
        <f ca="1">IFERROR(textbefore(Raw_Data!W74," / "),Raw_Data!W74)</f>
        <v>Battery usage / Batterie;Data usage / Consommation de donnÃ©es</v>
      </c>
    </row>
    <row r="75" spans="1:23" ht="24.75" customHeight="1" x14ac:dyDescent="0.35">
      <c r="A75" s="3" t="str">
        <f>Raw_Data!A75</f>
        <v>2026/04/24 11:19:22 AM GMT+1</v>
      </c>
      <c r="B75" s="3" t="str">
        <f>Raw_Data!B75</f>
        <v>ejollecynthiaepsemuabe@gmail.com</v>
      </c>
      <c r="C75" s="3" t="str">
        <f ca="1">IFERROR(textbefore(Raw_Data!C75," / "),Raw_Data!C75)</f>
        <v>MTN</v>
      </c>
      <c r="D75" s="3" t="str">
        <f ca="1">IFERROR(textbefore(Raw_Data!D75," / "),Raw_Data!D75)</f>
        <v>Southwest Region</v>
      </c>
      <c r="E75" s="3" t="str">
        <f ca="1">IFERROR(textbefore(Raw_Data!E75," / "),Raw_Data!E75)</f>
        <v>iPhone</v>
      </c>
      <c r="F75" s="3" t="str">
        <f ca="1">IFERROR(textbefore(Raw_Data!F75," / "),Raw_Data!F75)</f>
        <v>25 and above</v>
      </c>
      <c r="G75" s="3" t="str">
        <f ca="1">IFERROR(textbefore(textbefore(Raw_Data!G75,";")," / "),IFERROR(textbefore(Raw_Data!G75," / "),Raw_Data!G75))</f>
        <v>Very often / TrÃ¨s souvent</v>
      </c>
      <c r="H75" s="3" t="str">
        <f ca="1">IFERROR(textbefore(Raw_Data!H75," / "),Raw_Data!H75)</f>
        <v>Video streaming / VidÃ©o (YouTube, Netflix)</v>
      </c>
      <c r="I75" s="3" t="str">
        <f ca="1">IFERROR(textbefore(Raw_Data!I75," / "),Raw_Data!I75)</f>
        <v>Average / Moyenne</v>
      </c>
      <c r="J75" s="3">
        <f>Raw_Data!J75</f>
        <v>3</v>
      </c>
      <c r="K75" s="3" t="str">
        <f ca="1">IFERROR(textbefore(Raw_Data!K75," / "),Raw_Data!K75)</f>
        <v>Average / Moyenne</v>
      </c>
      <c r="L75" s="3" t="str">
        <f ca="1">IFERROR(textbefore(Raw_Data!L75," / "),Raw_Data!L75)</f>
        <v>Often / Souvent</v>
      </c>
      <c r="M75" s="3" t="str">
        <f ca="1">IFERROR(textbefore(Raw_Data!M75," / "),Raw_Data!M75)</f>
        <v>Slow internet / Internet lent</v>
      </c>
      <c r="N75" s="3" t="str">
        <f ca="1">IFERROR(textbefore(Raw_Data!N75," / "),Raw_Data!N75)</f>
        <v>Sometimes / Parfois</v>
      </c>
      <c r="O75" s="3" t="str">
        <f ca="1">IFERROR(textbefore(Raw_Data!O75," / "),Raw_Data!O75)</f>
        <v>Evening / Soir</v>
      </c>
      <c r="P75" s="3" t="str">
        <f ca="1">IFERROR(textbefore(Raw_Data!P75," / "),Raw_Data!P75)</f>
        <v>Everywhere / Partout</v>
      </c>
      <c r="Q75" s="3" t="str">
        <f ca="1">IFERROR(textbefore(Raw_Data!Q75," / "),Raw_Data!Q75)</f>
        <v>Moderate / Moyen</v>
      </c>
      <c r="R75" s="3" t="str">
        <f ca="1">IFERROR(textbefore(Raw_Data!R75," / "),Raw_Data!R75)</f>
        <v>Slightly / Un peu</v>
      </c>
      <c r="S75" s="3" t="str">
        <f ca="1">IFERROR(textbefore(Raw_Data!S75," / "),Raw_Data!S75)</f>
        <v>No / Non</v>
      </c>
      <c r="T75" s="3" t="str">
        <f ca="1">IFERROR(textbefore(Raw_Data!T75," / "),Raw_Data!T75)</f>
        <v>Yes / Oui</v>
      </c>
      <c r="U75" s="3" t="str">
        <f ca="1">IFERROR(textbefore(Raw_Data!U75," / "),Raw_Data!U75)</f>
        <v>Every time / Ã€ chaque fois</v>
      </c>
      <c r="V75" s="3" t="str">
        <f ca="1">IFERROR(textbefore(Raw_Data!V75," / "),Raw_Data!V75)</f>
        <v>No / Non</v>
      </c>
      <c r="W75" s="3" t="str">
        <f ca="1">IFERROR(textbefore(Raw_Data!W75," / "),Raw_Data!W75)</f>
        <v>Data usage / Consommation de donnÃ©es</v>
      </c>
    </row>
    <row r="76" spans="1:23" ht="24.75" customHeight="1" x14ac:dyDescent="0.35">
      <c r="A76" s="3" t="str">
        <f>Raw_Data!A76</f>
        <v>2026/04/24 11:23:19 AM GMT+1</v>
      </c>
      <c r="B76" s="3" t="str">
        <f>Raw_Data!B76</f>
        <v>eeugenelee444@gmail.com</v>
      </c>
      <c r="C76" s="3" t="str">
        <f ca="1">IFERROR(textbefore(Raw_Data!C76," / "),Raw_Data!C76)</f>
        <v>Orange</v>
      </c>
      <c r="D76" s="3" t="str">
        <f ca="1">IFERROR(textbefore(Raw_Data!D76," / "),Raw_Data!D76)</f>
        <v>Southwest Region</v>
      </c>
      <c r="E76" s="3" t="str">
        <f ca="1">IFERROR(textbefore(Raw_Data!E76," / "),Raw_Data!E76)</f>
        <v>Android</v>
      </c>
      <c r="F76" s="3" t="str">
        <f ca="1">IFERROR(textbefore(Raw_Data!F76," / "),Raw_Data!F76)</f>
        <v>20-25</v>
      </c>
      <c r="G76" s="3" t="str">
        <f ca="1">IFERROR(textbefore(textbefore(Raw_Data!G76,";")," / "),IFERROR(textbefore(Raw_Data!G76," / "),Raw_Data!G76))</f>
        <v>Very often / TrÃ¨s souvent</v>
      </c>
      <c r="H76" s="3" t="str">
        <f ca="1">IFERROR(textbefore(Raw_Data!H76," / "),Raw_Data!H76)</f>
        <v>Video streaming / VidÃ©o (YouTube, Netflix)</v>
      </c>
      <c r="I76" s="3" t="str">
        <f ca="1">IFERROR(textbefore(Raw_Data!I76," / "),Raw_Data!I76)</f>
        <v>Very Poor / TrÃ¨s mauvaise</v>
      </c>
      <c r="J76" s="3">
        <f>Raw_Data!J76</f>
        <v>4</v>
      </c>
      <c r="K76" s="3" t="str">
        <f ca="1">IFERROR(textbefore(Raw_Data!K76," / "),Raw_Data!K76)</f>
        <v>Very Poor / TrÃ¨s instable</v>
      </c>
      <c r="L76" s="3" t="str">
        <f ca="1">IFERROR(textbefore(Raw_Data!L76," / "),Raw_Data!L76)</f>
        <v>Always / Toujours</v>
      </c>
      <c r="M76" s="3" t="str">
        <f ca="1">IFERROR(textbefore(Raw_Data!M76," / "),Raw_Data!M76)</f>
        <v>Slow internet / Internet lent</v>
      </c>
      <c r="N76" s="3" t="str">
        <f ca="1">IFERROR(textbefore(Raw_Data!N76," / "),Raw_Data!N76)</f>
        <v>Very often / TrÃ¨s souvent</v>
      </c>
      <c r="O76" s="3" t="str">
        <f ca="1">IFERROR(textbefore(Raw_Data!O76," / "),Raw_Data!O76)</f>
        <v>Evening / Soir</v>
      </c>
      <c r="P76" s="3" t="str">
        <f ca="1">IFERROR(textbefore(Raw_Data!P76," / "),Raw_Data!P76)</f>
        <v>School/Work / Ã‰cole/Travail;On the road / En dÃ©placement;Everywhere / Partout</v>
      </c>
      <c r="Q76" s="3" t="str">
        <f ca="1">IFERROR(textbefore(Raw_Data!Q76," / "),Raw_Data!Q76)</f>
        <v>Weak / Faible</v>
      </c>
      <c r="R76" s="3" t="str">
        <f ca="1">IFERROR(textbefore(Raw_Data!R76," / "),Raw_Data!R76)</f>
        <v>Severely / Beaucoup</v>
      </c>
      <c r="S76" s="3" t="str">
        <f ca="1">IFERROR(textbefore(Raw_Data!S76," / "),Raw_Data!S76)</f>
        <v>Yes / Oui</v>
      </c>
      <c r="T76" s="3" t="str">
        <f ca="1">IFERROR(textbefore(Raw_Data!T76," / "),Raw_Data!T76)</f>
        <v>Yes / Oui</v>
      </c>
      <c r="U76" s="3" t="str">
        <f ca="1">IFERROR(textbefore(Raw_Data!U76," / "),Raw_Data!U76)</f>
        <v>Only when there is a problem / Seulement en cas de problÃ¨me</v>
      </c>
      <c r="V76" s="3" t="str">
        <f ca="1">IFERROR(textbefore(Raw_Data!V76," / "),Raw_Data!V76)</f>
        <v>No / Non</v>
      </c>
      <c r="W76" s="3" t="str">
        <f ca="1">IFERROR(textbefore(Raw_Data!W76," / "),Raw_Data!W76)</f>
        <v>Battery usage / Batterie</v>
      </c>
    </row>
    <row r="77" spans="1:23" ht="24.75" customHeight="1" x14ac:dyDescent="0.35">
      <c r="A77" s="3" t="str">
        <f>Raw_Data!A77</f>
        <v>2026/04/24 11:23:45 AM GMT+1</v>
      </c>
      <c r="B77" s="3" t="str">
        <f>Raw_Data!B77</f>
        <v>ernangowah@gmail.com</v>
      </c>
      <c r="C77" s="3" t="str">
        <f ca="1">IFERROR(textbefore(Raw_Data!C77," / "),Raw_Data!C77)</f>
        <v>MTN;Camtel</v>
      </c>
      <c r="D77" s="3" t="str">
        <f ca="1">IFERROR(textbefore(Raw_Data!D77," / "),Raw_Data!D77)</f>
        <v>Southwest Region</v>
      </c>
      <c r="E77" s="3" t="str">
        <f ca="1">IFERROR(textbefore(Raw_Data!E77," / "),Raw_Data!E77)</f>
        <v>Android</v>
      </c>
      <c r="F77" s="3" t="str">
        <f ca="1">IFERROR(textbefore(Raw_Data!F77," / "),Raw_Data!F77)</f>
        <v>20-25</v>
      </c>
      <c r="G77" s="3" t="str">
        <f ca="1">IFERROR(textbefore(textbefore(Raw_Data!G77,";")," / "),IFERROR(textbefore(Raw_Data!G77," / "),Raw_Data!G77))</f>
        <v>Very often / TrÃ¨s souvent</v>
      </c>
      <c r="H77" s="3" t="str">
        <f ca="1">IFERROR(textbefore(Raw_Data!H77," / "),Raw_Data!H77)</f>
        <v>Online classes/work / Cours ou travail en ligne;Browsing / Navigation</v>
      </c>
      <c r="I77" s="3" t="str">
        <f ca="1">IFERROR(textbefore(Raw_Data!I77," / "),Raw_Data!I77)</f>
        <v>Poor / Mauvaise;Average / Moyenne</v>
      </c>
      <c r="J77" s="3">
        <f>Raw_Data!J77</f>
        <v>3</v>
      </c>
      <c r="K77" s="3" t="str">
        <f ca="1">IFERROR(textbefore(Raw_Data!K77," / "),Raw_Data!K77)</f>
        <v>Average / Moyenne</v>
      </c>
      <c r="L77" s="3" t="str">
        <f ca="1">IFERROR(textbefore(Raw_Data!L77," / "),Raw_Data!L77)</f>
        <v>Sometimes / Parfois</v>
      </c>
      <c r="M77" s="3" t="str">
        <f ca="1">IFERROR(textbefore(Raw_Data!M77," / "),Raw_Data!M77)</f>
        <v>Slow internet / Internet lent;Poor call quality / Mauvaise qualitÃ© dâ€™appel</v>
      </c>
      <c r="N77" s="3" t="str">
        <f ca="1">IFERROR(textbefore(Raw_Data!N77," / "),Raw_Data!N77)</f>
        <v>Sometimes / Parfois</v>
      </c>
      <c r="O77" s="3" t="str">
        <f ca="1">IFERROR(textbefore(Raw_Data!O77," / "),Raw_Data!O77)</f>
        <v>Afternoon / AprÃ¨s-midi</v>
      </c>
      <c r="P77" s="3" t="str">
        <f ca="1">IFERROR(textbefore(Raw_Data!P77," / "),Raw_Data!P77)</f>
        <v>Everywhere / Partout</v>
      </c>
      <c r="Q77" s="3" t="str">
        <f ca="1">IFERROR(textbefore(Raw_Data!Q77," / "),Raw_Data!Q77)</f>
        <v>Moderate / Moyen</v>
      </c>
      <c r="R77" s="3" t="str">
        <f ca="1">IFERROR(textbefore(Raw_Data!R77," / "),Raw_Data!R77)</f>
        <v>Moderately / Moyennement</v>
      </c>
      <c r="S77" s="3" t="str">
        <f ca="1">IFERROR(textbefore(Raw_Data!S77," / "),Raw_Data!S77)</f>
        <v>Yes / Oui</v>
      </c>
      <c r="T77" s="3" t="str">
        <f ca="1">IFERROR(textbefore(Raw_Data!T77," / "),Raw_Data!T77)</f>
        <v>Yes / Oui</v>
      </c>
      <c r="U77" s="3" t="str">
        <f ca="1">IFERROR(textbefore(Raw_Data!U77," / "),Raw_Data!U77)</f>
        <v>Once a day / Une fois par jour</v>
      </c>
      <c r="V77" s="3" t="str">
        <f ca="1">IFERROR(textbefore(Raw_Data!V77," / "),Raw_Data!V77)</f>
        <v>No / Non</v>
      </c>
      <c r="W77" s="3" t="str">
        <f ca="1">IFERROR(textbefore(Raw_Data!W77," / "),Raw_Data!W77)</f>
        <v>Privacy / ConfidentialitÃ©;Security / SÃ©curitÃ©</v>
      </c>
    </row>
    <row r="78" spans="1:23" ht="24.75" customHeight="1" x14ac:dyDescent="0.35">
      <c r="A78" s="3" t="str">
        <f>Raw_Data!A78</f>
        <v>2026/04/24 11:26:51 AM GMT+1</v>
      </c>
      <c r="B78" s="3" t="str">
        <f>Raw_Data!B78</f>
        <v>blessnji51@gmail.com</v>
      </c>
      <c r="C78" s="3" t="str">
        <f ca="1">IFERROR(textbefore(Raw_Data!C78," / "),Raw_Data!C78)</f>
        <v>MTN;Orange;Camtel</v>
      </c>
      <c r="D78" s="3" t="str">
        <f ca="1">IFERROR(textbefore(Raw_Data!D78," / "),Raw_Data!D78)</f>
        <v>Southwest Region</v>
      </c>
      <c r="E78" s="3" t="str">
        <f ca="1">IFERROR(textbefore(Raw_Data!E78," / "),Raw_Data!E78)</f>
        <v>Android;iPhone</v>
      </c>
      <c r="F78" s="3" t="str">
        <f ca="1">IFERROR(textbefore(Raw_Data!F78," / "),Raw_Data!F78)</f>
        <v>20-25</v>
      </c>
      <c r="G78" s="3" t="str">
        <f ca="1">IFERROR(textbefore(textbefore(Raw_Data!G78,";")," / "),IFERROR(textbefore(Raw_Data!G78," / "),Raw_Data!G78))</f>
        <v>Very often / TrÃ¨s souvent</v>
      </c>
      <c r="H78" s="3" t="str">
        <f ca="1">IFERROR(textbefore(Raw_Data!H78," / "),Raw_Data!H78)</f>
        <v>Social media / RÃ©seaux sociaux;Video streaming / VidÃ©o (YouTube, Netflix);Messaging / Messagerie (WhatsApp, etc.);Online classes/work / Cours ou travail en ligne;Browsing / Navigation</v>
      </c>
      <c r="I78" s="3" t="str">
        <f ca="1">IFERROR(textbefore(Raw_Data!I78," / "),Raw_Data!I78)</f>
        <v>Poor / Mauvaise</v>
      </c>
      <c r="J78" s="3">
        <f>Raw_Data!J78</f>
        <v>2</v>
      </c>
      <c r="K78" s="3" t="str">
        <f ca="1">IFERROR(textbefore(Raw_Data!K78," / "),Raw_Data!K78)</f>
        <v>Average / Moyenne</v>
      </c>
      <c r="L78" s="3" t="str">
        <f ca="1">IFERROR(textbefore(Raw_Data!L78," / "),Raw_Data!L78)</f>
        <v>Sometimes / Parfois</v>
      </c>
      <c r="M78" s="3" t="str">
        <f ca="1">IFERROR(textbefore(Raw_Data!M78," / "),Raw_Data!M78)</f>
        <v>Slow internet / Internet lent;No signal / Pas de rÃ©seau;Network outages / Pannes rÃ©seau</v>
      </c>
      <c r="N78" s="3" t="str">
        <f ca="1">IFERROR(textbefore(Raw_Data!N78," / "),Raw_Data!N78)</f>
        <v>Sometimes / Parfois</v>
      </c>
      <c r="O78" s="3" t="str">
        <f ca="1">IFERROR(textbefore(Raw_Data!O78," / "),Raw_Data!O78)</f>
        <v>Morning / Matin</v>
      </c>
      <c r="P78" s="3" t="str">
        <f ca="1">IFERROR(textbefore(Raw_Data!P78," / "),Raw_Data!P78)</f>
        <v>Everywhere / Partout</v>
      </c>
      <c r="Q78" s="3" t="str">
        <f ca="1">IFERROR(textbefore(Raw_Data!Q78," / "),Raw_Data!Q78)</f>
        <v>Moderate / Moyen</v>
      </c>
      <c r="R78" s="3" t="str">
        <f ca="1">IFERROR(textbefore(Raw_Data!R78," / "),Raw_Data!R78)</f>
        <v>Severely / Beaucoup</v>
      </c>
      <c r="S78" s="3" t="str">
        <f ca="1">IFERROR(textbefore(Raw_Data!S78," / "),Raw_Data!S78)</f>
        <v>Yes / Oui</v>
      </c>
      <c r="T78" s="3" t="str">
        <f ca="1">IFERROR(textbefore(Raw_Data!T78," / "),Raw_Data!T78)</f>
        <v>Yes / Oui</v>
      </c>
      <c r="U78" s="3" t="str">
        <f ca="1">IFERROR(textbefore(Raw_Data!U78," / "),Raw_Data!U78)</f>
        <v>Every time / Ã€ chaque fois</v>
      </c>
      <c r="V78" s="3" t="str">
        <f ca="1">IFERROR(textbefore(Raw_Data!V78," / "),Raw_Data!V78)</f>
        <v>Yes / Oui</v>
      </c>
      <c r="W78" s="3" t="str">
        <f ca="1">IFERROR(textbefore(Raw_Data!W78," / "),Raw_Data!W78)</f>
        <v>Privacy / ConfidentialitÃ©;Battery usage / Batterie;Security / SÃ©curitÃ©</v>
      </c>
    </row>
    <row r="79" spans="1:23" ht="24.75" customHeight="1" x14ac:dyDescent="0.35">
      <c r="A79" s="3" t="str">
        <f>Raw_Data!A79</f>
        <v>2026/04/24 11:27:58 AM GMT+1</v>
      </c>
      <c r="B79" s="3" t="str">
        <f>Raw_Data!B79</f>
        <v>tumejunior16@gmail.com</v>
      </c>
      <c r="C79" s="3" t="str">
        <f ca="1">IFERROR(textbefore(Raw_Data!C79," / "),Raw_Data!C79)</f>
        <v>MTN</v>
      </c>
      <c r="D79" s="3" t="str">
        <f ca="1">IFERROR(textbefore(Raw_Data!D79," / "),Raw_Data!D79)</f>
        <v>Southwest Region</v>
      </c>
      <c r="E79" s="3" t="str">
        <f ca="1">IFERROR(textbefore(Raw_Data!E79," / "),Raw_Data!E79)</f>
        <v>Android</v>
      </c>
      <c r="F79" s="3" t="str">
        <f ca="1">IFERROR(textbefore(Raw_Data!F79," / "),Raw_Data!F79)</f>
        <v>20-25</v>
      </c>
      <c r="G79" s="3" t="str">
        <f ca="1">IFERROR(textbefore(textbefore(Raw_Data!G79,";")," / "),IFERROR(textbefore(Raw_Data!G79," / "),Raw_Data!G79))</f>
        <v>Very often / TrÃ¨s souvent</v>
      </c>
      <c r="H79" s="3" t="str">
        <f ca="1">IFERROR(textbefore(Raw_Data!H79," / "),Raw_Data!H79)</f>
        <v>Social media / RÃ©seaux sociaux;Messaging / Messagerie (WhatsApp, etc.)</v>
      </c>
      <c r="I79" s="3" t="str">
        <f ca="1">IFERROR(textbefore(Raw_Data!I79," / "),Raw_Data!I79)</f>
        <v>Very Poor / TrÃ¨s mauvaise</v>
      </c>
      <c r="J79" s="3">
        <f>Raw_Data!J79</f>
        <v>1</v>
      </c>
      <c r="K79" s="3" t="str">
        <f ca="1">IFERROR(textbefore(Raw_Data!K79," / "),Raw_Data!K79)</f>
        <v>Very Poor / TrÃ¨s instable</v>
      </c>
      <c r="L79" s="3" t="str">
        <f ca="1">IFERROR(textbefore(Raw_Data!L79," / "),Raw_Data!L79)</f>
        <v>Always / Toujours</v>
      </c>
      <c r="M79" s="3" t="str">
        <f ca="1">IFERROR(textbefore(Raw_Data!M79," / "),Raw_Data!M79)</f>
        <v>Slow internet / Internet lent;Network outages / Pannes rÃ©seau</v>
      </c>
      <c r="N79" s="3" t="str">
        <f ca="1">IFERROR(textbefore(Raw_Data!N79," / "),Raw_Data!N79)</f>
        <v>Very often / TrÃ¨s souvent</v>
      </c>
      <c r="O79" s="3" t="str">
        <f ca="1">IFERROR(textbefore(Raw_Data!O79," / "),Raw_Data!O79)</f>
        <v>Night / Nuit</v>
      </c>
      <c r="P79" s="3" t="str">
        <f ca="1">IFERROR(textbefore(Raw_Data!P79," / "),Raw_Data!P79)</f>
        <v>Everywhere / Partout</v>
      </c>
      <c r="Q79" s="3" t="str">
        <f ca="1">IFERROR(textbefore(Raw_Data!Q79," / "),Raw_Data!Q79)</f>
        <v>Very Weak / TrÃ¨s faible</v>
      </c>
      <c r="R79" s="3" t="str">
        <f ca="1">IFERROR(textbefore(Raw_Data!R79," / "),Raw_Data!R79)</f>
        <v>Severely / Beaucoup</v>
      </c>
      <c r="S79" s="3" t="str">
        <f ca="1">IFERROR(textbefore(Raw_Data!S79," / "),Raw_Data!S79)</f>
        <v>Yes / Oui</v>
      </c>
      <c r="T79" s="3" t="str">
        <f ca="1">IFERROR(textbefore(Raw_Data!T79," / "),Raw_Data!T79)</f>
        <v>Yes / Oui</v>
      </c>
      <c r="U79" s="3" t="str">
        <f ca="1">IFERROR(textbefore(Raw_Data!U79," / "),Raw_Data!U79)</f>
        <v>Every time / Ã€ chaque fois</v>
      </c>
      <c r="V79" s="3" t="str">
        <f ca="1">IFERROR(textbefore(Raw_Data!V79," / "),Raw_Data!V79)</f>
        <v>Yes / Oui</v>
      </c>
      <c r="W79" s="3" t="str">
        <f ca="1">IFERROR(textbefore(Raw_Data!W79," / "),Raw_Data!W79)</f>
        <v>Privacy / ConfidentialitÃ©;Security / SÃ©curitÃ©</v>
      </c>
    </row>
    <row r="80" spans="1:23" ht="24.75" customHeight="1" x14ac:dyDescent="0.35">
      <c r="A80" s="3" t="str">
        <f>Raw_Data!A80</f>
        <v>2026/04/24 11:30:43 AM GMT+1</v>
      </c>
      <c r="B80" s="3" t="str">
        <f>Raw_Data!B80</f>
        <v>rosycarverofficial@gmail.com</v>
      </c>
      <c r="C80" s="3" t="str">
        <f ca="1">IFERROR(textbefore(Raw_Data!C80," / "),Raw_Data!C80)</f>
        <v>MTN</v>
      </c>
      <c r="D80" s="3" t="str">
        <f ca="1">IFERROR(textbefore(Raw_Data!D80," / "),Raw_Data!D80)</f>
        <v>Southwest Region</v>
      </c>
      <c r="E80" s="3" t="str">
        <f ca="1">IFERROR(textbefore(Raw_Data!E80," / "),Raw_Data!E80)</f>
        <v>iPhone</v>
      </c>
      <c r="F80" s="3" t="str">
        <f ca="1">IFERROR(textbefore(Raw_Data!F80," / "),Raw_Data!F80)</f>
        <v>20-25</v>
      </c>
      <c r="G80" s="3" t="str">
        <f ca="1">IFERROR(textbefore(textbefore(Raw_Data!G80,";")," / "),IFERROR(textbefore(Raw_Data!G80," / "),Raw_Data!G80))</f>
        <v>Very often / TrÃ¨s souvent</v>
      </c>
      <c r="H80" s="3" t="str">
        <f ca="1">IFERROR(textbefore(Raw_Data!H80," / "),Raw_Data!H80)</f>
        <v>Social media / RÃ©seaux sociaux;Online classes/work / Cours ou travail en ligne;Browsing / Navigation</v>
      </c>
      <c r="I80" s="3" t="str">
        <f ca="1">IFERROR(textbefore(Raw_Data!I80," / "),Raw_Data!I80)</f>
        <v>Very Poor / TrÃ¨s mauvaise</v>
      </c>
      <c r="J80" s="3">
        <f>Raw_Data!J80</f>
        <v>2</v>
      </c>
      <c r="K80" s="3" t="str">
        <f ca="1">IFERROR(textbefore(Raw_Data!K80," / "),Raw_Data!K80)</f>
        <v>Poor / Instable</v>
      </c>
      <c r="L80" s="3" t="str">
        <f ca="1">IFERROR(textbefore(Raw_Data!L80," / "),Raw_Data!L80)</f>
        <v>Never / Jamais</v>
      </c>
      <c r="M80" s="3" t="str">
        <f ca="1">IFERROR(textbefore(Raw_Data!M80," / "),Raw_Data!M80)</f>
        <v>Slow internet / Internet lent;No signal / Pas de rÃ©seau</v>
      </c>
      <c r="N80" s="3" t="str">
        <f ca="1">IFERROR(textbefore(Raw_Data!N80," / "),Raw_Data!N80)</f>
        <v>Very often / TrÃ¨s souvent</v>
      </c>
      <c r="O80" s="3" t="str">
        <f ca="1">IFERROR(textbefore(Raw_Data!O80," / "),Raw_Data!O80)</f>
        <v>Morning / Matin</v>
      </c>
      <c r="P80" s="3" t="str">
        <f ca="1">IFERROR(textbefore(Raw_Data!P80," / "),Raw_Data!P80)</f>
        <v>School/Work / Ã‰cole/Travail</v>
      </c>
      <c r="Q80" s="3" t="str">
        <f ca="1">IFERROR(textbefore(Raw_Data!Q80," / "),Raw_Data!Q80)</f>
        <v>Very Weak / TrÃ¨s faible</v>
      </c>
      <c r="R80" s="3" t="str">
        <f ca="1">IFERROR(textbefore(Raw_Data!R80," / "),Raw_Data!R80)</f>
        <v>Severely / Beaucoup</v>
      </c>
      <c r="S80" s="3" t="str">
        <f ca="1">IFERROR(textbefore(Raw_Data!S80," / "),Raw_Data!S80)</f>
        <v>Yes / Oui</v>
      </c>
      <c r="T80" s="3" t="str">
        <f ca="1">IFERROR(textbefore(Raw_Data!T80," / "),Raw_Data!T80)</f>
        <v>Yes / Oui</v>
      </c>
      <c r="U80" s="3" t="str">
        <f ca="1">IFERROR(textbefore(Raw_Data!U80," / "),Raw_Data!U80)</f>
        <v>Every time / Ã€ chaque fois</v>
      </c>
      <c r="V80" s="3" t="str">
        <f ca="1">IFERROR(textbefore(Raw_Data!V80," / "),Raw_Data!V80)</f>
        <v>No / Non</v>
      </c>
      <c r="W80" s="3" t="str">
        <f ca="1">IFERROR(textbefore(Raw_Data!W80," / "),Raw_Data!W80)</f>
        <v>Privacy / ConfidentialitÃ©;Battery usage / Batterie</v>
      </c>
    </row>
    <row r="81" spans="1:23" ht="24.75" customHeight="1" x14ac:dyDescent="0.35">
      <c r="A81" s="3" t="str">
        <f>Raw_Data!A81</f>
        <v>2026/04/24 11:32:08 AM GMT+1</v>
      </c>
      <c r="B81" s="3" t="str">
        <f>Raw_Data!B81</f>
        <v>dipipibrightworld6@gmail.com</v>
      </c>
      <c r="C81" s="3" t="str">
        <f ca="1">IFERROR(textbefore(Raw_Data!C81," / "),Raw_Data!C81)</f>
        <v>MTN</v>
      </c>
      <c r="D81" s="3" t="str">
        <f ca="1">IFERROR(textbefore(Raw_Data!D81," / "),Raw_Data!D81)</f>
        <v>South Region</v>
      </c>
      <c r="E81" s="3" t="str">
        <f ca="1">IFERROR(textbefore(Raw_Data!E81," / "),Raw_Data!E81)</f>
        <v>Android</v>
      </c>
      <c r="F81" s="3" t="str">
        <f ca="1">IFERROR(textbefore(Raw_Data!F81," / "),Raw_Data!F81)</f>
        <v>20-25</v>
      </c>
      <c r="G81" s="3" t="str">
        <f ca="1">IFERROR(textbefore(textbefore(Raw_Data!G81,";")," / "),IFERROR(textbefore(Raw_Data!G81," / "),Raw_Data!G81))</f>
        <v>Very often / TrÃ¨s souvent</v>
      </c>
      <c r="H81" s="3" t="str">
        <f ca="1">IFERROR(textbefore(Raw_Data!H81," / "),Raw_Data!H81)</f>
        <v>Social media / RÃ©seaux sociaux;Messaging / Messagerie (WhatsApp, etc.);Online classes/work / Cours ou travail en ligne</v>
      </c>
      <c r="I81" s="3" t="str">
        <f ca="1">IFERROR(textbefore(Raw_Data!I81," / "),Raw_Data!I81)</f>
        <v>Poor / Mauvaise;Average / Moyenne</v>
      </c>
      <c r="J81" s="3">
        <f>Raw_Data!J81</f>
        <v>2</v>
      </c>
      <c r="K81" s="3" t="str">
        <f ca="1">IFERROR(textbefore(Raw_Data!K81," / "),Raw_Data!K81)</f>
        <v>Average / Moyenne</v>
      </c>
      <c r="L81" s="3" t="str">
        <f ca="1">IFERROR(textbefore(Raw_Data!L81," / "),Raw_Data!L81)</f>
        <v>Rarely / Rarement</v>
      </c>
      <c r="M81" s="3" t="str">
        <f ca="1">IFERROR(textbefore(Raw_Data!M81," / "),Raw_Data!M81)</f>
        <v>Slow internet / Internet lent</v>
      </c>
      <c r="N81" s="3" t="str">
        <f ca="1">IFERROR(textbefore(Raw_Data!N81," / "),Raw_Data!N81)</f>
        <v>Sometimes / Parfois</v>
      </c>
      <c r="O81" s="3" t="str">
        <f ca="1">IFERROR(textbefore(Raw_Data!O81," / "),Raw_Data!O81)</f>
        <v>Afternoon / AprÃ¨s-midi</v>
      </c>
      <c r="P81" s="3" t="str">
        <f ca="1">IFERROR(textbefore(Raw_Data!P81," / "),Raw_Data!P81)</f>
        <v>School/Work / Ã‰cole/Travail</v>
      </c>
      <c r="Q81" s="3" t="str">
        <f ca="1">IFERROR(textbefore(Raw_Data!Q81," / "),Raw_Data!Q81)</f>
        <v>Weak / Faible</v>
      </c>
      <c r="R81" s="3" t="str">
        <f ca="1">IFERROR(textbefore(Raw_Data!R81," / "),Raw_Data!R81)</f>
        <v>Moderately / Moyennement</v>
      </c>
      <c r="S81" s="3" t="str">
        <f ca="1">IFERROR(textbefore(Raw_Data!S81," / "),Raw_Data!S81)</f>
        <v>Yes / Oui</v>
      </c>
      <c r="T81" s="3" t="str">
        <f ca="1">IFERROR(textbefore(Raw_Data!T81," / "),Raw_Data!T81)</f>
        <v>Yes / Oui</v>
      </c>
      <c r="U81" s="3" t="str">
        <f ca="1">IFERROR(textbefore(Raw_Data!U81," / "),Raw_Data!U81)</f>
        <v>Once a day / Une fois par jour</v>
      </c>
      <c r="V81" s="3" t="str">
        <f ca="1">IFERROR(textbefore(Raw_Data!V81," / "),Raw_Data!V81)</f>
        <v>Yes / Oui</v>
      </c>
      <c r="W81" s="3" t="str">
        <f ca="1">IFERROR(textbefore(Raw_Data!W81," / "),Raw_Data!W81)</f>
        <v>Privacy / ConfidentialitÃ©;Battery usage / Batterie;Data usage / Consommation de donnÃ©es;Security / SÃ©curitÃ©</v>
      </c>
    </row>
    <row r="82" spans="1:23" ht="24.75" customHeight="1" x14ac:dyDescent="0.35">
      <c r="A82" s="3" t="str">
        <f>Raw_Data!A82</f>
        <v>2026/04/24 11:34:23 AM GMT+1</v>
      </c>
      <c r="B82" s="3" t="str">
        <f>Raw_Data!B82</f>
        <v>bantarsolomon@gmail.com</v>
      </c>
      <c r="C82" s="3" t="str">
        <f ca="1">IFERROR(textbefore(Raw_Data!C82," / "),Raw_Data!C82)</f>
        <v>MTN</v>
      </c>
      <c r="D82" s="3" t="str">
        <f ca="1">IFERROR(textbefore(Raw_Data!D82," / "),Raw_Data!D82)</f>
        <v>Southwest Region</v>
      </c>
      <c r="E82" s="3" t="str">
        <f ca="1">IFERROR(textbefore(Raw_Data!E82," / "),Raw_Data!E82)</f>
        <v>Android</v>
      </c>
      <c r="F82" s="3" t="str">
        <f ca="1">IFERROR(textbefore(Raw_Data!F82," / "),Raw_Data!F82)</f>
        <v>20-25</v>
      </c>
      <c r="G82" s="3" t="str">
        <f ca="1">IFERROR(textbefore(textbefore(Raw_Data!G82,";")," / "),IFERROR(textbefore(Raw_Data!G82," / "),Raw_Data!G82))</f>
        <v>Very often / TrÃ¨s souvent</v>
      </c>
      <c r="H82" s="3" t="str">
        <f ca="1">IFERROR(textbefore(Raw_Data!H82," / "),Raw_Data!H82)</f>
        <v>Social media / RÃ©seaux sociaux;Messaging / Messagerie (WhatsApp, etc.);Gaming / Jeux;</v>
      </c>
      <c r="I82" s="3" t="str">
        <f ca="1">IFERROR(textbefore(Raw_Data!I82," / "),Raw_Data!I82)</f>
        <v>Poor / Mauvaise</v>
      </c>
      <c r="J82" s="3">
        <f>Raw_Data!J82</f>
        <v>3</v>
      </c>
      <c r="K82" s="3" t="str">
        <f ca="1">IFERROR(textbefore(Raw_Data!K82," / "),Raw_Data!K82)</f>
        <v>Poor / Instable</v>
      </c>
      <c r="L82" s="3" t="str">
        <f ca="1">IFERROR(textbefore(Raw_Data!L82," / "),Raw_Data!L82)</f>
        <v>Rarely / Rarement</v>
      </c>
      <c r="M82" s="3" t="str">
        <f ca="1">IFERROR(textbefore(Raw_Data!M82," / "),Raw_Data!M82)</f>
        <v>Slow internet / Internet lent</v>
      </c>
      <c r="N82" s="3" t="str">
        <f ca="1">IFERROR(textbefore(Raw_Data!N82," / "),Raw_Data!N82)</f>
        <v>Often / Souvent</v>
      </c>
      <c r="O82" s="3" t="str">
        <f ca="1">IFERROR(textbefore(Raw_Data!O82," / "),Raw_Data!O82)</f>
        <v>Evening / Soir</v>
      </c>
      <c r="P82" s="3" t="str">
        <f ca="1">IFERROR(textbefore(Raw_Data!P82," / "),Raw_Data!P82)</f>
        <v>School/Work / Ã‰cole/Travail</v>
      </c>
      <c r="Q82" s="3" t="str">
        <f ca="1">IFERROR(textbefore(Raw_Data!Q82," / "),Raw_Data!Q82)</f>
        <v>Very Weak / TrÃ¨s faible</v>
      </c>
      <c r="R82" s="3" t="str">
        <f ca="1">IFERROR(textbefore(Raw_Data!R82," / "),Raw_Data!R82)</f>
        <v>Not at all / Pas du tout</v>
      </c>
      <c r="S82" s="3" t="str">
        <f ca="1">IFERROR(textbefore(Raw_Data!S82," / "),Raw_Data!S82)</f>
        <v>Yes / Oui</v>
      </c>
      <c r="T82" s="3" t="str">
        <f ca="1">IFERROR(textbefore(Raw_Data!T82," / "),Raw_Data!T82)</f>
        <v>Yes / Oui</v>
      </c>
      <c r="U82" s="3" t="str">
        <f ca="1">IFERROR(textbefore(Raw_Data!U82," / "),Raw_Data!U82)</f>
        <v>Only when there is a problem / Seulement en cas de problÃ¨me</v>
      </c>
      <c r="V82" s="3" t="str">
        <f ca="1">IFERROR(textbefore(Raw_Data!V82," / "),Raw_Data!V82)</f>
        <v>Yes / Oui</v>
      </c>
      <c r="W82" s="3" t="str">
        <f ca="1">IFERROR(textbefore(Raw_Data!W82," / "),Raw_Data!W82)</f>
        <v>Battery usage / Batterie</v>
      </c>
    </row>
    <row r="83" spans="1:23" ht="24.75" customHeight="1" x14ac:dyDescent="0.35">
      <c r="A83" s="3" t="str">
        <f>Raw_Data!A83</f>
        <v>2026/04/24 11:41:51 AM GMT+1</v>
      </c>
      <c r="B83" s="3" t="str">
        <f>Raw_Data!B83</f>
        <v>kum648bache@gmail.com</v>
      </c>
      <c r="C83" s="3" t="str">
        <f ca="1">IFERROR(textbefore(Raw_Data!C83," / "),Raw_Data!C83)</f>
        <v>MTN</v>
      </c>
      <c r="D83" s="3" t="str">
        <f ca="1">IFERROR(textbefore(Raw_Data!D83," / "),Raw_Data!D83)</f>
        <v>Southwest Region</v>
      </c>
      <c r="E83" s="3" t="str">
        <f ca="1">IFERROR(textbefore(Raw_Data!E83," / "),Raw_Data!E83)</f>
        <v>Android</v>
      </c>
      <c r="F83" s="3" t="str">
        <f ca="1">IFERROR(textbefore(Raw_Data!F83," / "),Raw_Data!F83)</f>
        <v>20-25</v>
      </c>
      <c r="G83" s="3" t="str">
        <f ca="1">IFERROR(textbefore(textbefore(Raw_Data!G83,";")," / "),IFERROR(textbefore(Raw_Data!G83," / "),Raw_Data!G83))</f>
        <v>Very often / TrÃ¨s souvent</v>
      </c>
      <c r="H83" s="3" t="str">
        <f ca="1">IFERROR(textbefore(Raw_Data!H83," / "),Raw_Data!H83)</f>
        <v>Social media / RÃ©seaux sociaux;Online classes/work / Cours ou travail en ligne;Browsing / Navigation</v>
      </c>
      <c r="I83" s="3" t="str">
        <f ca="1">IFERROR(textbefore(Raw_Data!I83," / "),Raw_Data!I83)</f>
        <v>Very Poor / TrÃ¨s mauvaise</v>
      </c>
      <c r="J83" s="3">
        <f>Raw_Data!J83</f>
        <v>1</v>
      </c>
      <c r="K83" s="3" t="str">
        <f ca="1">IFERROR(textbefore(Raw_Data!K83," / "),Raw_Data!K83)</f>
        <v>Very Poor / TrÃ¨s instable</v>
      </c>
      <c r="L83" s="3" t="str">
        <f ca="1">IFERROR(textbefore(Raw_Data!L83," / "),Raw_Data!L83)</f>
        <v>Always / Toujours</v>
      </c>
      <c r="M83" s="3" t="str">
        <f ca="1">IFERROR(textbefore(Raw_Data!M83," / "),Raw_Data!M83)</f>
        <v>Slow internet / Internet lent;Call drops / Coupures d'appel;No signal / Pas de rÃ©seau;Poor call quality / Mauvaise qualitÃ© dâ€™appel;Network outages / Pannes rÃ©seau</v>
      </c>
      <c r="N83" s="3" t="str">
        <f ca="1">IFERROR(textbefore(Raw_Data!N83," / "),Raw_Data!N83)</f>
        <v>Very often / TrÃ¨s souvent</v>
      </c>
      <c r="O83" s="3" t="str">
        <f ca="1">IFERROR(textbefore(Raw_Data!O83," / "),Raw_Data!O83)</f>
        <v>Evening / Soir</v>
      </c>
      <c r="P83" s="3" t="str">
        <f ca="1">IFERROR(textbefore(Raw_Data!P83," / "),Raw_Data!P83)</f>
        <v>School/Work / Ã‰cole/Travail;On the road / En dÃ©placement;Everywhere / Partout</v>
      </c>
      <c r="Q83" s="3" t="str">
        <f ca="1">IFERROR(textbefore(Raw_Data!Q83," / "),Raw_Data!Q83)</f>
        <v>Very Weak / TrÃ¨s faible</v>
      </c>
      <c r="R83" s="3" t="str">
        <f ca="1">IFERROR(textbefore(Raw_Data!R83," / "),Raw_Data!R83)</f>
        <v>Severely / Beaucoup</v>
      </c>
      <c r="S83" s="3" t="str">
        <f ca="1">IFERROR(textbefore(Raw_Data!S83," / "),Raw_Data!S83)</f>
        <v>Yes / Oui</v>
      </c>
      <c r="T83" s="3" t="str">
        <f ca="1">IFERROR(textbefore(Raw_Data!T83," / "),Raw_Data!T83)</f>
        <v>Yes / Oui</v>
      </c>
      <c r="U83" s="3" t="str">
        <f ca="1">IFERROR(textbefore(Raw_Data!U83," / "),Raw_Data!U83)</f>
        <v>Only when there is a problem / Seulement en cas de problÃ¨me</v>
      </c>
      <c r="V83" s="3" t="str">
        <f ca="1">IFERROR(textbefore(Raw_Data!V83," / "),Raw_Data!V83)</f>
        <v>No / Non</v>
      </c>
      <c r="W83" s="3" t="str">
        <f ca="1">IFERROR(textbefore(Raw_Data!W83," / "),Raw_Data!W83)</f>
        <v>Privacy / ConfidentialitÃ©;Battery usage / Batterie;Data usage / Consommation de donnÃ©es</v>
      </c>
    </row>
    <row r="84" spans="1:23" ht="24.75" customHeight="1" x14ac:dyDescent="0.35">
      <c r="A84" s="3" t="str">
        <f>Raw_Data!A84</f>
        <v>2026/04/24 11:43:10 AM GMT+1</v>
      </c>
      <c r="B84" s="3" t="str">
        <f>Raw_Data!B84</f>
        <v>tanohfrank888@gmail.com</v>
      </c>
      <c r="C84" s="3" t="str">
        <f ca="1">IFERROR(textbefore(Raw_Data!C84," / "),Raw_Data!C84)</f>
        <v>MTN</v>
      </c>
      <c r="D84" s="3" t="str">
        <f ca="1">IFERROR(textbefore(Raw_Data!D84," / "),Raw_Data!D84)</f>
        <v>North West Region</v>
      </c>
      <c r="E84" s="3" t="str">
        <f ca="1">IFERROR(textbefore(Raw_Data!E84," / "),Raw_Data!E84)</f>
        <v>Android</v>
      </c>
      <c r="F84" s="3" t="str">
        <f ca="1">IFERROR(textbefore(Raw_Data!F84," / "),Raw_Data!F84)</f>
        <v>20-25</v>
      </c>
      <c r="G84" s="3" t="str">
        <f ca="1">IFERROR(textbefore(textbefore(Raw_Data!G84,";")," / "),IFERROR(textbefore(Raw_Data!G84," / "),Raw_Data!G84))</f>
        <v>Very often / TrÃ¨s souvent</v>
      </c>
      <c r="H84" s="3" t="str">
        <f ca="1">IFERROR(textbefore(Raw_Data!H84," / "),Raw_Data!H84)</f>
        <v>Messaging / Messagerie (WhatsApp, etc.);Online classes/work / Cours ou travail en ligne;Browsing / Navigation</v>
      </c>
      <c r="I84" s="3" t="str">
        <f ca="1">IFERROR(textbefore(Raw_Data!I84," / "),Raw_Data!I84)</f>
        <v>Average / Moyenne</v>
      </c>
      <c r="J84" s="3">
        <f>Raw_Data!J84</f>
        <v>2</v>
      </c>
      <c r="K84" s="3" t="str">
        <f ca="1">IFERROR(textbefore(Raw_Data!K84," / "),Raw_Data!K84)</f>
        <v>Average / Moyenne</v>
      </c>
      <c r="L84" s="3" t="str">
        <f ca="1">IFERROR(textbefore(Raw_Data!L84," / "),Raw_Data!L84)</f>
        <v>Always / Toujours</v>
      </c>
      <c r="M84" s="3" t="str">
        <f ca="1">IFERROR(textbefore(Raw_Data!M84," / "),Raw_Data!M84)</f>
        <v>Slow internet / Internet lent</v>
      </c>
      <c r="N84" s="3" t="str">
        <f ca="1">IFERROR(textbefore(Raw_Data!N84," / "),Raw_Data!N84)</f>
        <v>Often / Souvent</v>
      </c>
      <c r="O84" s="3" t="str">
        <f ca="1">IFERROR(textbefore(Raw_Data!O84," / "),Raw_Data!O84)</f>
        <v>Evening / Soir</v>
      </c>
      <c r="P84" s="3" t="str">
        <f ca="1">IFERROR(textbefore(Raw_Data!P84," / "),Raw_Data!P84)</f>
        <v>Everywhere / Partout</v>
      </c>
      <c r="Q84" s="3" t="str">
        <f ca="1">IFERROR(textbefore(Raw_Data!Q84," / "),Raw_Data!Q84)</f>
        <v>Moderate / Moyen</v>
      </c>
      <c r="R84" s="3" t="str">
        <f ca="1">IFERROR(textbefore(Raw_Data!R84," / "),Raw_Data!R84)</f>
        <v>Slightly / Un peu</v>
      </c>
      <c r="S84" s="3" t="str">
        <f ca="1">IFERROR(textbefore(Raw_Data!S84," / "),Raw_Data!S84)</f>
        <v>Yes / Oui</v>
      </c>
      <c r="T84" s="3" t="str">
        <f ca="1">IFERROR(textbefore(Raw_Data!T84," / "),Raw_Data!T84)</f>
        <v>Yes / Oui</v>
      </c>
      <c r="U84" s="3" t="str">
        <f ca="1">IFERROR(textbefore(Raw_Data!U84," / "),Raw_Data!U84)</f>
        <v>Only when there is a problem / Seulement en cas de problÃ¨me</v>
      </c>
      <c r="V84" s="3" t="str">
        <f ca="1">IFERROR(textbefore(Raw_Data!V84," / "),Raw_Data!V84)</f>
        <v>Yes / Oui</v>
      </c>
      <c r="W84" s="3" t="str">
        <f ca="1">IFERROR(textbefore(Raw_Data!W84," / "),Raw_Data!W84)</f>
        <v>Data usage / Consommation de donnÃ©es</v>
      </c>
    </row>
    <row r="85" spans="1:23" ht="24.75" customHeight="1" x14ac:dyDescent="0.35">
      <c r="A85" s="3" t="str">
        <f>Raw_Data!A85</f>
        <v>2026/04/24 11:53:29 AM GMT+1</v>
      </c>
      <c r="B85" s="3" t="str">
        <f>Raw_Data!B85</f>
        <v>inyangtaku@gmail.com</v>
      </c>
      <c r="C85" s="3" t="str">
        <f ca="1">IFERROR(textbefore(Raw_Data!C85," / "),Raw_Data!C85)</f>
        <v>MTN;Orange</v>
      </c>
      <c r="D85" s="3" t="str">
        <f ca="1">IFERROR(textbefore(Raw_Data!D85," / "),Raw_Data!D85)</f>
        <v>Southwest Region</v>
      </c>
      <c r="E85" s="3" t="str">
        <f ca="1">IFERROR(textbefore(Raw_Data!E85," / "),Raw_Data!E85)</f>
        <v>Android</v>
      </c>
      <c r="F85" s="3" t="str">
        <f ca="1">IFERROR(textbefore(Raw_Data!F85," / "),Raw_Data!F85)</f>
        <v>20-25</v>
      </c>
      <c r="G85" s="3" t="str">
        <f ca="1">IFERROR(textbefore(textbefore(Raw_Data!G85,";")," / "),IFERROR(textbefore(Raw_Data!G85," / "),Raw_Data!G85))</f>
        <v>Very often / TrÃ¨s souvent</v>
      </c>
      <c r="H85" s="3" t="str">
        <f ca="1">IFERROR(textbefore(Raw_Data!H85," / "),Raw_Data!H85)</f>
        <v>Social media / RÃ©seaux sociaux;Video streaming / VidÃ©o (YouTube, Netflix);Messaging / Messagerie (WhatsApp, etc.);Online classes/work / Cours ou travail en ligne;Browsing / Navigation</v>
      </c>
      <c r="I85" s="3" t="str">
        <f ca="1">IFERROR(textbefore(Raw_Data!I85," / "),Raw_Data!I85)</f>
        <v>Poor / Mauvaise</v>
      </c>
      <c r="J85" s="3">
        <f>Raw_Data!J85</f>
        <v>2</v>
      </c>
      <c r="K85" s="3" t="str">
        <f ca="1">IFERROR(textbefore(Raw_Data!K85," / "),Raw_Data!K85)</f>
        <v>Poor / Instable</v>
      </c>
      <c r="L85" s="3" t="str">
        <f ca="1">IFERROR(textbefore(Raw_Data!L85," / "),Raw_Data!L85)</f>
        <v>Often / Souvent</v>
      </c>
      <c r="M85" s="3" t="str">
        <f ca="1">IFERROR(textbefore(Raw_Data!M85," / "),Raw_Data!M85)</f>
        <v>Slow internet / Internet lent;Poor call quality / Mauvaise qualitÃ© dâ€™appel;Network outages / Pannes rÃ©seau</v>
      </c>
      <c r="N85" s="3" t="str">
        <f ca="1">IFERROR(textbefore(Raw_Data!N85," / "),Raw_Data!N85)</f>
        <v>Often / Souvent</v>
      </c>
      <c r="O85" s="3" t="str">
        <f ca="1">IFERROR(textbefore(Raw_Data!O85," / "),Raw_Data!O85)</f>
        <v>Afternoon / AprÃ¨s-midi</v>
      </c>
      <c r="P85" s="3" t="str">
        <f ca="1">IFERROR(textbefore(Raw_Data!P85," / "),Raw_Data!P85)</f>
        <v>Everywhere / Partout</v>
      </c>
      <c r="Q85" s="3" t="str">
        <f ca="1">IFERROR(textbefore(Raw_Data!Q85," / "),Raw_Data!Q85)</f>
        <v>Weak / Faible</v>
      </c>
      <c r="R85" s="3" t="str">
        <f ca="1">IFERROR(textbefore(Raw_Data!R85," / "),Raw_Data!R85)</f>
        <v>Moderately / Moyennement</v>
      </c>
      <c r="S85" s="3" t="str">
        <f ca="1">IFERROR(textbefore(Raw_Data!S85," / "),Raw_Data!S85)</f>
        <v>Yes / Oui</v>
      </c>
      <c r="T85" s="3" t="str">
        <f ca="1">IFERROR(textbefore(Raw_Data!T85," / "),Raw_Data!T85)</f>
        <v>Yes / Oui</v>
      </c>
      <c r="U85" s="3" t="str">
        <f ca="1">IFERROR(textbefore(Raw_Data!U85," / "),Raw_Data!U85)</f>
        <v>Every time / Ã€ chaque fois</v>
      </c>
      <c r="V85" s="3" t="str">
        <f ca="1">IFERROR(textbefore(Raw_Data!V85," / "),Raw_Data!V85)</f>
        <v>Yes / Oui</v>
      </c>
      <c r="W85" s="3" t="str">
        <f ca="1">IFERROR(textbefore(Raw_Data!W85," / "),Raw_Data!W85)</f>
        <v>Privacy / ConfidentialitÃ©;Battery usage / Batterie;Data usage / Consommation de donnÃ©es;Security / SÃ©curitÃ©</v>
      </c>
    </row>
    <row r="86" spans="1:23" ht="24.75" customHeight="1" x14ac:dyDescent="0.35">
      <c r="A86" s="3" t="str">
        <f>Raw_Data!A86</f>
        <v>2026/04/24 12:05:56 PM GMT+1</v>
      </c>
      <c r="B86" s="3" t="str">
        <f>Raw_Data!B86</f>
        <v>tohrolandngong@gmail.com</v>
      </c>
      <c r="C86" s="3" t="str">
        <f ca="1">IFERROR(textbefore(Raw_Data!C86," / "),Raw_Data!C86)</f>
        <v>MTN;Orange</v>
      </c>
      <c r="D86" s="3" t="str">
        <f ca="1">IFERROR(textbefore(Raw_Data!D86," / "),Raw_Data!D86)</f>
        <v>Southwest Region</v>
      </c>
      <c r="E86" s="3" t="str">
        <f ca="1">IFERROR(textbefore(Raw_Data!E86," / "),Raw_Data!E86)</f>
        <v>Android</v>
      </c>
      <c r="F86" s="3" t="str">
        <f ca="1">IFERROR(textbefore(Raw_Data!F86," / "),Raw_Data!F86)</f>
        <v>25 and above</v>
      </c>
      <c r="G86" s="3" t="str">
        <f ca="1">IFERROR(textbefore(textbefore(Raw_Data!G86,";")," / "),IFERROR(textbefore(Raw_Data!G86," / "),Raw_Data!G86))</f>
        <v>Very often / TrÃ¨s souvent</v>
      </c>
      <c r="H86" s="3" t="str">
        <f ca="1">IFERROR(textbefore(Raw_Data!H86," / "),Raw_Data!H86)</f>
        <v>Social media / RÃ©seaux sociaux</v>
      </c>
      <c r="I86" s="3" t="str">
        <f ca="1">IFERROR(textbefore(Raw_Data!I86," / "),Raw_Data!I86)</f>
        <v>Very Poor / TrÃ¨s mauvaise</v>
      </c>
      <c r="J86" s="3">
        <f>Raw_Data!J86</f>
        <v>2</v>
      </c>
      <c r="K86" s="3" t="str">
        <f ca="1">IFERROR(textbefore(Raw_Data!K86," / "),Raw_Data!K86)</f>
        <v>Poor / Instable</v>
      </c>
      <c r="L86" s="3" t="str">
        <f ca="1">IFERROR(textbefore(Raw_Data!L86," / "),Raw_Data!L86)</f>
        <v>Often / Souvent</v>
      </c>
      <c r="M86" s="3" t="str">
        <f ca="1">IFERROR(textbefore(Raw_Data!M86," / "),Raw_Data!M86)</f>
        <v>Slow internet / Internet lent</v>
      </c>
      <c r="N86" s="3" t="str">
        <f ca="1">IFERROR(textbefore(Raw_Data!N86," / "),Raw_Data!N86)</f>
        <v>Often / Souvent</v>
      </c>
      <c r="O86" s="3" t="str">
        <f ca="1">IFERROR(textbefore(Raw_Data!O86," / "),Raw_Data!O86)</f>
        <v>Evening / Soir</v>
      </c>
      <c r="P86" s="3" t="str">
        <f ca="1">IFERROR(textbefore(Raw_Data!P86," / "),Raw_Data!P86)</f>
        <v>Everywhere / Partout</v>
      </c>
      <c r="Q86" s="3" t="str">
        <f ca="1">IFERROR(textbefore(Raw_Data!Q86," / "),Raw_Data!Q86)</f>
        <v>Moderate / Moyen</v>
      </c>
      <c r="R86" s="3" t="str">
        <f ca="1">IFERROR(textbefore(Raw_Data!R86," / "),Raw_Data!R86)</f>
        <v>Moderately / Moyennement</v>
      </c>
      <c r="S86" s="3" t="str">
        <f ca="1">IFERROR(textbefore(Raw_Data!S86," / "),Raw_Data!S86)</f>
        <v>No / Non</v>
      </c>
      <c r="T86" s="3" t="str">
        <f ca="1">IFERROR(textbefore(Raw_Data!T86," / "),Raw_Data!T86)</f>
        <v>No / Non</v>
      </c>
      <c r="U86" s="3" t="str">
        <f ca="1">IFERROR(textbefore(Raw_Data!U86," / "),Raw_Data!U86)</f>
        <v>Every time / Ã€ chaque fois</v>
      </c>
      <c r="V86" s="3" t="str">
        <f ca="1">IFERROR(textbefore(Raw_Data!V86," / "),Raw_Data!V86)</f>
        <v>Yes / Oui</v>
      </c>
      <c r="W86" s="3" t="str">
        <f ca="1">IFERROR(textbefore(Raw_Data!W86," / "),Raw_Data!W86)</f>
        <v>Privacy / ConfidentialitÃ©</v>
      </c>
    </row>
    <row r="87" spans="1:23" ht="24.75" customHeight="1" x14ac:dyDescent="0.35">
      <c r="A87" s="3" t="str">
        <f>Raw_Data!A87</f>
        <v>2026/04/24 12:10:56 PM GMT+1</v>
      </c>
      <c r="B87" s="3" t="str">
        <f>Raw_Data!B87</f>
        <v>lawrenceechundip@gmail.com</v>
      </c>
      <c r="C87" s="3" t="str">
        <f ca="1">IFERROR(textbefore(Raw_Data!C87," / "),Raw_Data!C87)</f>
        <v>MTN;Orange</v>
      </c>
      <c r="D87" s="3" t="str">
        <f ca="1">IFERROR(textbefore(Raw_Data!D87," / "),Raw_Data!D87)</f>
        <v>Southwest Region</v>
      </c>
      <c r="E87" s="3" t="str">
        <f ca="1">IFERROR(textbefore(Raw_Data!E87," / "),Raw_Data!E87)</f>
        <v>Android</v>
      </c>
      <c r="F87" s="3" t="str">
        <f ca="1">IFERROR(textbefore(Raw_Data!F87," / "),Raw_Data!F87)</f>
        <v>20-25</v>
      </c>
      <c r="G87" s="3" t="str">
        <f ca="1">IFERROR(textbefore(textbefore(Raw_Data!G87,";")," / "),IFERROR(textbefore(Raw_Data!G87," / "),Raw_Data!G87))</f>
        <v>Very often / TrÃ¨s souvent</v>
      </c>
      <c r="H87" s="3" t="str">
        <f ca="1">IFERROR(textbefore(Raw_Data!H87," / "),Raw_Data!H87)</f>
        <v>Social media / RÃ©seaux sociaux;Messaging / Messagerie (WhatsApp, etc.);Online classes/work / Cours ou travail en ligne;Browsing / Navigation</v>
      </c>
      <c r="I87" s="3" t="str">
        <f ca="1">IFERROR(textbefore(Raw_Data!I87," / "),Raw_Data!I87)</f>
        <v>Very Poor / TrÃ¨s mauvaise</v>
      </c>
      <c r="J87" s="3">
        <f>Raw_Data!J87</f>
        <v>2</v>
      </c>
      <c r="K87" s="3" t="str">
        <f ca="1">IFERROR(textbefore(Raw_Data!K87," / "),Raw_Data!K87)</f>
        <v>Very Poor / TrÃ¨s instable</v>
      </c>
      <c r="L87" s="3" t="str">
        <f ca="1">IFERROR(textbefore(Raw_Data!L87," / "),Raw_Data!L87)</f>
        <v>Rarely / Rarement</v>
      </c>
      <c r="M87" s="3" t="str">
        <f ca="1">IFERROR(textbefore(Raw_Data!M87," / "),Raw_Data!M87)</f>
        <v>Slow internet / Internet lent;Poor call quality / Mauvaise qualitÃ© dâ€™appel;Network outages / Pannes rÃ©seau</v>
      </c>
      <c r="N87" s="3" t="str">
        <f ca="1">IFERROR(textbefore(Raw_Data!N87," / "),Raw_Data!N87)</f>
        <v>Often / Souvent</v>
      </c>
      <c r="O87" s="3" t="str">
        <f ca="1">IFERROR(textbefore(Raw_Data!O87," / "),Raw_Data!O87)</f>
        <v>Afternoon / AprÃ¨s-midi</v>
      </c>
      <c r="P87" s="3" t="str">
        <f ca="1">IFERROR(textbefore(Raw_Data!P87," / "),Raw_Data!P87)</f>
        <v>School/Work / Ã‰cole/Travail;On the road / En dÃ©placement;Everywhere / Partout</v>
      </c>
      <c r="Q87" s="3" t="str">
        <f ca="1">IFERROR(textbefore(Raw_Data!Q87," / "),Raw_Data!Q87)</f>
        <v>Moderate / Moyen</v>
      </c>
      <c r="R87" s="3" t="str">
        <f ca="1">IFERROR(textbefore(Raw_Data!R87," / "),Raw_Data!R87)</f>
        <v>Slightly / Un peu</v>
      </c>
      <c r="S87" s="3" t="str">
        <f ca="1">IFERROR(textbefore(Raw_Data!S87," / "),Raw_Data!S87)</f>
        <v>Yes / Oui</v>
      </c>
      <c r="T87" s="3" t="str">
        <f ca="1">IFERROR(textbefore(Raw_Data!T87," / "),Raw_Data!T87)</f>
        <v>Yes / Oui</v>
      </c>
      <c r="U87" s="3" t="str">
        <f ca="1">IFERROR(textbefore(Raw_Data!U87," / "),Raw_Data!U87)</f>
        <v>Once a day / Une fois par jour</v>
      </c>
      <c r="V87" s="3" t="str">
        <f ca="1">IFERROR(textbefore(Raw_Data!V87," / "),Raw_Data!V87)</f>
        <v>Yes / Oui</v>
      </c>
      <c r="W87" s="3" t="str">
        <f ca="1">IFERROR(textbefore(Raw_Data!W87," / "),Raw_Data!W87)</f>
        <v>Battery usage / Batterie;Data usage / Consommation de donnÃ©es;Security / SÃ©curitÃ©</v>
      </c>
    </row>
    <row r="88" spans="1:23" ht="24.75" customHeight="1" x14ac:dyDescent="0.35">
      <c r="A88" s="3" t="str">
        <f>Raw_Data!A88</f>
        <v>2026/04/24 12:17:28 PM GMT+1</v>
      </c>
      <c r="B88" s="3" t="str">
        <f>Raw_Data!B88</f>
        <v>nsanentraceymbehte@gmail.com</v>
      </c>
      <c r="C88" s="3" t="str">
        <f ca="1">IFERROR(textbefore(Raw_Data!C88," / "),Raw_Data!C88)</f>
        <v>MTN</v>
      </c>
      <c r="D88" s="3" t="str">
        <f ca="1">IFERROR(textbefore(Raw_Data!D88," / "),Raw_Data!D88)</f>
        <v>North Region</v>
      </c>
      <c r="E88" s="3" t="str">
        <f ca="1">IFERROR(textbefore(Raw_Data!E88," / "),Raw_Data!E88)</f>
        <v>iPhone</v>
      </c>
      <c r="F88" s="3" t="str">
        <f ca="1">IFERROR(textbefore(Raw_Data!F88," / "),Raw_Data!F88)</f>
        <v>20-25</v>
      </c>
      <c r="G88" s="3" t="str">
        <f ca="1">IFERROR(textbefore(textbefore(Raw_Data!G88,";")," / "),IFERROR(textbefore(Raw_Data!G88," / "),Raw_Data!G88))</f>
        <v>Very often / TrÃ¨s souvent</v>
      </c>
      <c r="H88" s="3" t="str">
        <f ca="1">IFERROR(textbefore(Raw_Data!H88," / "),Raw_Data!H88)</f>
        <v>Social media / RÃ©seaux sociaux;Video streaming / VidÃ©o (YouTube, Netflix);Messaging / Messagerie (WhatsApp, etc.);Online classes/work / Cours ou travail en ligne;Gaming / Jeux;Browsing / Navigation;</v>
      </c>
      <c r="I88" s="3" t="str">
        <f ca="1">IFERROR(textbefore(Raw_Data!I88," / "),Raw_Data!I88)</f>
        <v>Very Poor / TrÃ¨s mauvaise</v>
      </c>
      <c r="J88" s="3">
        <f>Raw_Data!J88</f>
        <v>3</v>
      </c>
      <c r="K88" s="3" t="str">
        <f ca="1">IFERROR(textbefore(Raw_Data!K88," / "),Raw_Data!K88)</f>
        <v>Poor / Instable</v>
      </c>
      <c r="L88" s="3" t="str">
        <f ca="1">IFERROR(textbefore(Raw_Data!L88," / "),Raw_Data!L88)</f>
        <v>Often / Souvent</v>
      </c>
      <c r="M88" s="3" t="str">
        <f ca="1">IFERROR(textbefore(Raw_Data!M88," / "),Raw_Data!M88)</f>
        <v>Slow internet / Internet lent</v>
      </c>
      <c r="N88" s="3" t="str">
        <f ca="1">IFERROR(textbefore(Raw_Data!N88," / "),Raw_Data!N88)</f>
        <v>Often / Souvent</v>
      </c>
      <c r="O88" s="3" t="str">
        <f ca="1">IFERROR(textbefore(Raw_Data!O88," / "),Raw_Data!O88)</f>
        <v>Morning / Matin</v>
      </c>
      <c r="P88" s="3" t="str">
        <f ca="1">IFERROR(textbefore(Raw_Data!P88," / "),Raw_Data!P88)</f>
        <v>School/Work / Ã‰cole/Travail</v>
      </c>
      <c r="Q88" s="3" t="str">
        <f ca="1">IFERROR(textbefore(Raw_Data!Q88," / "),Raw_Data!Q88)</f>
        <v>Very Weak / TrÃ¨s faible</v>
      </c>
      <c r="R88" s="3" t="str">
        <f ca="1">IFERROR(textbefore(Raw_Data!R88," / "),Raw_Data!R88)</f>
        <v>Slightly / Un peu</v>
      </c>
      <c r="S88" s="3" t="str">
        <f ca="1">IFERROR(textbefore(Raw_Data!S88," / "),Raw_Data!S88)</f>
        <v>Yes / Oui</v>
      </c>
      <c r="T88" s="3" t="str">
        <f ca="1">IFERROR(textbefore(Raw_Data!T88," / "),Raw_Data!T88)</f>
        <v>Yes / Oui</v>
      </c>
      <c r="U88" s="3" t="str">
        <f ca="1">IFERROR(textbefore(Raw_Data!U88," / "),Raw_Data!U88)</f>
        <v>Every time / Ã€ chaque fois</v>
      </c>
      <c r="V88" s="3" t="str">
        <f ca="1">IFERROR(textbefore(Raw_Data!V88," / "),Raw_Data!V88)</f>
        <v>Yes / Oui</v>
      </c>
      <c r="W88" s="3" t="str">
        <f ca="1">IFERROR(textbefore(Raw_Data!W88," / "),Raw_Data!W88)</f>
        <v>Privacy / ConfidentialitÃ©;Battery usage / Batterie;Data usage / Consommation de donnÃ©es;Security / SÃ©curitÃ©;None / Aucune</v>
      </c>
    </row>
    <row r="89" spans="1:23" ht="24.75" customHeight="1" x14ac:dyDescent="0.35">
      <c r="A89" s="3" t="str">
        <f>Raw_Data!A89</f>
        <v>2026/04/24 12:24:20 PM GMT+1</v>
      </c>
      <c r="B89" s="3" t="str">
        <f>Raw_Data!B89</f>
        <v>njock.awoh@gmail.com</v>
      </c>
      <c r="C89" s="3" t="str">
        <f ca="1">IFERROR(textbefore(Raw_Data!C89," / "),Raw_Data!C89)</f>
        <v>MTN;Orange</v>
      </c>
      <c r="D89" s="3" t="str">
        <f ca="1">IFERROR(textbefore(Raw_Data!D89," / "),Raw_Data!D89)</f>
        <v>Southwest Region</v>
      </c>
      <c r="E89" s="3" t="str">
        <f ca="1">IFERROR(textbefore(Raw_Data!E89," / "),Raw_Data!E89)</f>
        <v>iPhone</v>
      </c>
      <c r="F89" s="3" t="str">
        <f ca="1">IFERROR(textbefore(Raw_Data!F89," / "),Raw_Data!F89)</f>
        <v>20-25</v>
      </c>
      <c r="G89" s="3" t="str">
        <f ca="1">IFERROR(textbefore(textbefore(Raw_Data!G89,";")," / "),IFERROR(textbefore(Raw_Data!G89," / "),Raw_Data!G89))</f>
        <v>Very often / TrÃ¨s souvent</v>
      </c>
      <c r="H89" s="3" t="str">
        <f ca="1">IFERROR(textbefore(Raw_Data!H89," / "),Raw_Data!H89)</f>
        <v>Messaging / Messagerie (WhatsApp, etc.);Browsing / Navigation</v>
      </c>
      <c r="I89" s="3" t="str">
        <f ca="1">IFERROR(textbefore(Raw_Data!I89," / "),Raw_Data!I89)</f>
        <v>Average / Moyenne</v>
      </c>
      <c r="J89" s="3">
        <f>Raw_Data!J89</f>
        <v>2</v>
      </c>
      <c r="K89" s="3" t="str">
        <f ca="1">IFERROR(textbefore(Raw_Data!K89," / "),Raw_Data!K89)</f>
        <v>Average / Moyenne</v>
      </c>
      <c r="L89" s="3" t="str">
        <f ca="1">IFERROR(textbefore(Raw_Data!L89," / "),Raw_Data!L89)</f>
        <v>Often / Souvent</v>
      </c>
      <c r="M89" s="3" t="str">
        <f ca="1">IFERROR(textbefore(Raw_Data!M89," / "),Raw_Data!M89)</f>
        <v>Slow internet / Internet lent;Poor call quality / Mauvaise qualitÃ© dâ€™appel</v>
      </c>
      <c r="N89" s="3" t="str">
        <f ca="1">IFERROR(textbefore(Raw_Data!N89," / "),Raw_Data!N89)</f>
        <v>Sometimes / Parfois</v>
      </c>
      <c r="O89" s="3" t="str">
        <f ca="1">IFERROR(textbefore(Raw_Data!O89," / "),Raw_Data!O89)</f>
        <v>Evening / Soir</v>
      </c>
      <c r="P89" s="3" t="str">
        <f ca="1">IFERROR(textbefore(Raw_Data!P89," / "),Raw_Data!P89)</f>
        <v>School/Work / Ã‰cole/Travail</v>
      </c>
      <c r="Q89" s="3" t="str">
        <f ca="1">IFERROR(textbefore(Raw_Data!Q89," / "),Raw_Data!Q89)</f>
        <v>Moderate / Moyen</v>
      </c>
      <c r="R89" s="3" t="str">
        <f ca="1">IFERROR(textbefore(Raw_Data!R89," / "),Raw_Data!R89)</f>
        <v>Slightly / Un peu</v>
      </c>
      <c r="S89" s="3" t="str">
        <f ca="1">IFERROR(textbefore(Raw_Data!S89," / "),Raw_Data!S89)</f>
        <v>Yes / Oui</v>
      </c>
      <c r="T89" s="3" t="str">
        <f ca="1">IFERROR(textbefore(Raw_Data!T89," / "),Raw_Data!T89)</f>
        <v>Yes / Oui</v>
      </c>
      <c r="U89" s="3" t="str">
        <f ca="1">IFERROR(textbefore(Raw_Data!U89," / "),Raw_Data!U89)</f>
        <v>Once a week</v>
      </c>
      <c r="V89" s="3" t="str">
        <f ca="1">IFERROR(textbefore(Raw_Data!V89," / "),Raw_Data!V89)</f>
        <v>Yes / Oui</v>
      </c>
      <c r="W89" s="3" t="str">
        <f ca="1">IFERROR(textbefore(Raw_Data!W89," / "),Raw_Data!W89)</f>
        <v>Privacy / ConfidentialitÃ©;Data usage / Consommation de donnÃ©es;Security / SÃ©curitÃ©</v>
      </c>
    </row>
    <row r="90" spans="1:23" ht="24.75" customHeight="1" x14ac:dyDescent="0.35">
      <c r="A90" s="3" t="str">
        <f>Raw_Data!A90</f>
        <v>2026/04/24 12:24:20 PM GMT+1</v>
      </c>
      <c r="B90" s="3" t="str">
        <f>Raw_Data!B90</f>
        <v>debbyaimeedebby@gmail.com</v>
      </c>
      <c r="C90" s="3" t="str">
        <f ca="1">IFERROR(textbefore(Raw_Data!C90," / "),Raw_Data!C90)</f>
        <v>MTN</v>
      </c>
      <c r="D90" s="3" t="str">
        <f ca="1">IFERROR(textbefore(Raw_Data!D90," / "),Raw_Data!D90)</f>
        <v>Southwest Region</v>
      </c>
      <c r="E90" s="3" t="str">
        <f ca="1">IFERROR(textbefore(Raw_Data!E90," / "),Raw_Data!E90)</f>
        <v>iPhone</v>
      </c>
      <c r="F90" s="3" t="str">
        <f ca="1">IFERROR(textbefore(Raw_Data!F90," / "),Raw_Data!F90)</f>
        <v>20-25</v>
      </c>
      <c r="G90" s="3" t="str">
        <f ca="1">IFERROR(textbefore(textbefore(Raw_Data!G90,";")," / "),IFERROR(textbefore(Raw_Data!G90," / "),Raw_Data!G90))</f>
        <v>Very often / TrÃ¨s souvent</v>
      </c>
      <c r="H90" s="3" t="str">
        <f ca="1">IFERROR(textbefore(Raw_Data!H90," / "),Raw_Data!H90)</f>
        <v>Social media / RÃ©seaux sociaux</v>
      </c>
      <c r="I90" s="3" t="str">
        <f ca="1">IFERROR(textbefore(Raw_Data!I90," / "),Raw_Data!I90)</f>
        <v>Poor / Mauvaise</v>
      </c>
      <c r="J90" s="3">
        <f>Raw_Data!J90</f>
        <v>1</v>
      </c>
      <c r="K90" s="3" t="str">
        <f ca="1">IFERROR(textbefore(Raw_Data!K90," / "),Raw_Data!K90)</f>
        <v>Poor / Instable</v>
      </c>
      <c r="L90" s="3" t="str">
        <f ca="1">IFERROR(textbefore(Raw_Data!L90," / "),Raw_Data!L90)</f>
        <v>Sometimes / Parfois</v>
      </c>
      <c r="M90" s="3" t="str">
        <f ca="1">IFERROR(textbefore(Raw_Data!M90," / "),Raw_Data!M90)</f>
        <v>Network outages / Pannes rÃ©seau</v>
      </c>
      <c r="N90" s="3" t="str">
        <f ca="1">IFERROR(textbefore(Raw_Data!N90," / "),Raw_Data!N90)</f>
        <v>Often / Souvent</v>
      </c>
      <c r="O90" s="3" t="str">
        <f ca="1">IFERROR(textbefore(Raw_Data!O90," / "),Raw_Data!O90)</f>
        <v>Evening / Soir</v>
      </c>
      <c r="P90" s="3" t="str">
        <f ca="1">IFERROR(textbefore(Raw_Data!P90," / "),Raw_Data!P90)</f>
        <v>School/Work / Ã‰cole/Travail</v>
      </c>
      <c r="Q90" s="3" t="str">
        <f ca="1">IFERROR(textbefore(Raw_Data!Q90," / "),Raw_Data!Q90)</f>
        <v>Weak / Faible</v>
      </c>
      <c r="R90" s="3" t="str">
        <f ca="1">IFERROR(textbefore(Raw_Data!R90," / "),Raw_Data!R90)</f>
        <v>Severely / Beaucoup</v>
      </c>
      <c r="S90" s="3" t="str">
        <f ca="1">IFERROR(textbefore(Raw_Data!S90," / "),Raw_Data!S90)</f>
        <v>No / Non</v>
      </c>
      <c r="T90" s="3" t="str">
        <f ca="1">IFERROR(textbefore(Raw_Data!T90," / "),Raw_Data!T90)</f>
        <v>No / Non</v>
      </c>
      <c r="U90" s="3" t="str">
        <f ca="1">IFERROR(textbefore(Raw_Data!U90," / "),Raw_Data!U90)</f>
        <v xml:space="preserve">None </v>
      </c>
      <c r="V90" s="3" t="str">
        <f ca="1">IFERROR(textbefore(Raw_Data!V90," / "),Raw_Data!V90)</f>
        <v>No / Non</v>
      </c>
      <c r="W90" s="3" t="str">
        <f ca="1">IFERROR(textbefore(Raw_Data!W90," / "),Raw_Data!W90)</f>
        <v>Privacy / ConfidentialitÃ©</v>
      </c>
    </row>
    <row r="91" spans="1:23" ht="24.75" customHeight="1" x14ac:dyDescent="0.35">
      <c r="A91" s="3" t="str">
        <f>Raw_Data!A91</f>
        <v>2026/04/24 12:51:55 PM GMT+1</v>
      </c>
      <c r="B91" s="3" t="str">
        <f>Raw_Data!B91</f>
        <v>dipitamouna19@gmail.com</v>
      </c>
      <c r="C91" s="3" t="str">
        <f ca="1">IFERROR(textbefore(Raw_Data!C91," / "),Raw_Data!C91)</f>
        <v>MTN;Orange</v>
      </c>
      <c r="D91" s="3" t="str">
        <f ca="1">IFERROR(textbefore(Raw_Data!D91," / "),Raw_Data!D91)</f>
        <v>Southwest Region</v>
      </c>
      <c r="E91" s="3" t="str">
        <f ca="1">IFERROR(textbefore(Raw_Data!E91," / "),Raw_Data!E91)</f>
        <v>Android</v>
      </c>
      <c r="F91" s="3" t="str">
        <f ca="1">IFERROR(textbefore(Raw_Data!F91," / "),Raw_Data!F91)</f>
        <v>20-25</v>
      </c>
      <c r="G91" s="3" t="str">
        <f ca="1">IFERROR(textbefore(textbefore(Raw_Data!G91,";")," / "),IFERROR(textbefore(Raw_Data!G91," / "),Raw_Data!G91))</f>
        <v>Very often / TrÃ¨s souvent</v>
      </c>
      <c r="H91" s="3" t="str">
        <f ca="1">IFERROR(textbefore(Raw_Data!H91," / "),Raw_Data!H91)</f>
        <v>Social media / RÃ©seaux sociaux;Video streaming / VidÃ©o (YouTube, Netflix);Messaging / Messagerie (WhatsApp, etc.);Online classes/work / Cours ou travail en ligne;Browsing / Navigation</v>
      </c>
      <c r="I91" s="3" t="str">
        <f ca="1">IFERROR(textbefore(Raw_Data!I91," / "),Raw_Data!I91)</f>
        <v>Very Poor / TrÃ¨s mauvaise</v>
      </c>
      <c r="J91" s="3">
        <f>Raw_Data!J91</f>
        <v>1</v>
      </c>
      <c r="K91" s="3" t="str">
        <f ca="1">IFERROR(textbefore(Raw_Data!K91," / "),Raw_Data!K91)</f>
        <v>Very Poor / TrÃ¨s instable</v>
      </c>
      <c r="L91" s="3" t="str">
        <f ca="1">IFERROR(textbefore(Raw_Data!L91," / "),Raw_Data!L91)</f>
        <v>Always / Toujours</v>
      </c>
      <c r="M91" s="3" t="str">
        <f ca="1">IFERROR(textbefore(Raw_Data!M91," / "),Raw_Data!M91)</f>
        <v>Slow internet / Internet lent;Call drops / Coupures d'appel;No signal / Pas de rÃ©seau;Poor call quality / Mauvaise qualitÃ© dâ€™appel;Network outages / Pannes rÃ©seau</v>
      </c>
      <c r="N91" s="3" t="str">
        <f ca="1">IFERROR(textbefore(Raw_Data!N91," / "),Raw_Data!N91)</f>
        <v>Very often / TrÃ¨s souvent</v>
      </c>
      <c r="O91" s="3" t="str">
        <f ca="1">IFERROR(textbefore(Raw_Data!O91," / "),Raw_Data!O91)</f>
        <v>Afternoon / AprÃ¨s-midi</v>
      </c>
      <c r="P91" s="3" t="str">
        <f ca="1">IFERROR(textbefore(Raw_Data!P91," / "),Raw_Data!P91)</f>
        <v>Everywhere / Partout</v>
      </c>
      <c r="Q91" s="3" t="str">
        <f ca="1">IFERROR(textbefore(Raw_Data!Q91," / "),Raw_Data!Q91)</f>
        <v>Very Weak / TrÃ¨s faible</v>
      </c>
      <c r="R91" s="3" t="str">
        <f ca="1">IFERROR(textbefore(Raw_Data!R91," / "),Raw_Data!R91)</f>
        <v>Severely / Beaucoup</v>
      </c>
      <c r="S91" s="3" t="str">
        <f ca="1">IFERROR(textbefore(Raw_Data!S91," / "),Raw_Data!S91)</f>
        <v>Yes / Oui</v>
      </c>
      <c r="T91" s="3" t="str">
        <f ca="1">IFERROR(textbefore(Raw_Data!T91," / "),Raw_Data!T91)</f>
        <v>No / Non</v>
      </c>
      <c r="U91" s="3" t="str">
        <f ca="1">IFERROR(textbefore(Raw_Data!U91," / "),Raw_Data!U91)</f>
        <v>Only when there is a problem / Seulement en cas de problÃ¨me</v>
      </c>
      <c r="V91" s="3" t="str">
        <f ca="1">IFERROR(textbefore(Raw_Data!V91," / "),Raw_Data!V91)</f>
        <v>No / Non</v>
      </c>
      <c r="W91" s="3" t="str">
        <f ca="1">IFERROR(textbefore(Raw_Data!W91," / "),Raw_Data!W91)</f>
        <v>Privacy / ConfidentialitÃ©;Battery usage / Batterie;Data usage / Consommation de donnÃ©es;Security / SÃ©curitÃ©</v>
      </c>
    </row>
    <row r="92" spans="1:23" ht="24.75" customHeight="1" x14ac:dyDescent="0.35">
      <c r="A92" s="3" t="str">
        <f>Raw_Data!A92</f>
        <v>2026/04/24 1:09:37 PM GMT+1</v>
      </c>
      <c r="B92" s="3" t="str">
        <f>Raw_Data!B92</f>
        <v>biolafrank89@gmail.com</v>
      </c>
      <c r="C92" s="3" t="str">
        <f ca="1">IFERROR(textbefore(Raw_Data!C92," / "),Raw_Data!C92)</f>
        <v>Camtel</v>
      </c>
      <c r="D92" s="3" t="str">
        <f ca="1">IFERROR(textbefore(Raw_Data!D92," / "),Raw_Data!D92)</f>
        <v>North West Region</v>
      </c>
      <c r="E92" s="3" t="str">
        <f ca="1">IFERROR(textbefore(Raw_Data!E92," / "),Raw_Data!E92)</f>
        <v>Android</v>
      </c>
      <c r="F92" s="3" t="str">
        <f ca="1">IFERROR(textbefore(Raw_Data!F92," / "),Raw_Data!F92)</f>
        <v>15-20</v>
      </c>
      <c r="G92" s="3" t="str">
        <f ca="1">IFERROR(textbefore(textbefore(Raw_Data!G92,";")," / "),IFERROR(textbefore(Raw_Data!G92," / "),Raw_Data!G92))</f>
        <v>Often / Souvent</v>
      </c>
      <c r="H92" s="3" t="str">
        <f ca="1">IFERROR(textbefore(Raw_Data!H92," / "),Raw_Data!H92)</f>
        <v>Social media / RÃ©seaux sociaux;Messaging / Messagerie (WhatsApp, etc.);Browsing / Navigation</v>
      </c>
      <c r="I92" s="3" t="str">
        <f ca="1">IFERROR(textbefore(Raw_Data!I92," / "),Raw_Data!I92)</f>
        <v>Average / Moyenne</v>
      </c>
      <c r="J92" s="3">
        <f>Raw_Data!J92</f>
        <v>3</v>
      </c>
      <c r="K92" s="3" t="str">
        <f ca="1">IFERROR(textbefore(Raw_Data!K92," / "),Raw_Data!K92)</f>
        <v>Average / Moyenne</v>
      </c>
      <c r="L92" s="3" t="str">
        <f ca="1">IFERROR(textbefore(Raw_Data!L92," / "),Raw_Data!L92)</f>
        <v>Sometimes / Parfois</v>
      </c>
      <c r="M92" s="3" t="str">
        <f ca="1">IFERROR(textbefore(Raw_Data!M92," / "),Raw_Data!M92)</f>
        <v>Slow internet / Internet lent</v>
      </c>
      <c r="N92" s="3" t="str">
        <f ca="1">IFERROR(textbefore(Raw_Data!N92," / "),Raw_Data!N92)</f>
        <v>Often / Souvent</v>
      </c>
      <c r="O92" s="3" t="str">
        <f ca="1">IFERROR(textbefore(Raw_Data!O92," / "),Raw_Data!O92)</f>
        <v>Night / Nuit</v>
      </c>
      <c r="P92" s="3" t="str">
        <f ca="1">IFERROR(textbefore(Raw_Data!P92," / "),Raw_Data!P92)</f>
        <v>Everywhere / Partout</v>
      </c>
      <c r="Q92" s="3" t="str">
        <f ca="1">IFERROR(textbefore(Raw_Data!Q92," / "),Raw_Data!Q92)</f>
        <v>Moderate / Moyen</v>
      </c>
      <c r="R92" s="3" t="str">
        <f ca="1">IFERROR(textbefore(Raw_Data!R92," / "),Raw_Data!R92)</f>
        <v>Moderately / Moyennement</v>
      </c>
      <c r="S92" s="3" t="str">
        <f ca="1">IFERROR(textbefore(Raw_Data!S92," / "),Raw_Data!S92)</f>
        <v>No / Non</v>
      </c>
      <c r="T92" s="3" t="str">
        <f ca="1">IFERROR(textbefore(Raw_Data!T92," / "),Raw_Data!T92)</f>
        <v>Yes / Oui</v>
      </c>
      <c r="U92" s="3" t="str">
        <f ca="1">IFERROR(textbefore(Raw_Data!U92," / "),Raw_Data!U92)</f>
        <v>Once a day / Une fois par jour</v>
      </c>
      <c r="V92" s="3" t="str">
        <f ca="1">IFERROR(textbefore(Raw_Data!V92," / "),Raw_Data!V92)</f>
        <v>Yes / Oui</v>
      </c>
      <c r="W92" s="3" t="str">
        <f ca="1">IFERROR(textbefore(Raw_Data!W92," / "),Raw_Data!W92)</f>
        <v>Data usage / Consommation de donnÃ©es</v>
      </c>
    </row>
    <row r="93" spans="1:23" ht="24.75" customHeight="1" x14ac:dyDescent="0.35">
      <c r="A93" s="3" t="str">
        <f>Raw_Data!A93</f>
        <v>2026/04/24 1:19:30 PM GMT+1</v>
      </c>
      <c r="B93" s="3" t="str">
        <f>Raw_Data!B93</f>
        <v>ttprcs@gmail.com</v>
      </c>
      <c r="C93" s="3" t="str">
        <f ca="1">IFERROR(textbefore(Raw_Data!C93," / "),Raw_Data!C93)</f>
        <v>Camtel</v>
      </c>
      <c r="D93" s="3" t="str">
        <f ca="1">IFERROR(textbefore(Raw_Data!D93," / "),Raw_Data!D93)</f>
        <v>Southwest Region</v>
      </c>
      <c r="E93" s="3" t="str">
        <f ca="1">IFERROR(textbefore(Raw_Data!E93," / "),Raw_Data!E93)</f>
        <v>Android</v>
      </c>
      <c r="F93" s="3" t="str">
        <f ca="1">IFERROR(textbefore(Raw_Data!F93," / "),Raw_Data!F93)</f>
        <v>20-25</v>
      </c>
      <c r="G93" s="3" t="str">
        <f ca="1">IFERROR(textbefore(textbefore(Raw_Data!G93,";")," / "),IFERROR(textbefore(Raw_Data!G93," / "),Raw_Data!G93))</f>
        <v>Very often / TrÃ¨s souvent</v>
      </c>
      <c r="H93" s="3" t="str">
        <f ca="1">IFERROR(textbefore(Raw_Data!H93," / "),Raw_Data!H93)</f>
        <v>Social media / RÃ©seaux sociaux;Video streaming / VidÃ©o (YouTube, Netflix);Messaging / Messagerie (WhatsApp, etc.);Browsing / Navigation</v>
      </c>
      <c r="I93" s="3" t="str">
        <f ca="1">IFERROR(textbefore(Raw_Data!I93," / "),Raw_Data!I93)</f>
        <v>Poor / Mauvaise</v>
      </c>
      <c r="J93" s="3">
        <f>Raw_Data!J93</f>
        <v>2</v>
      </c>
      <c r="K93" s="3" t="str">
        <f ca="1">IFERROR(textbefore(Raw_Data!K93," / "),Raw_Data!K93)</f>
        <v>Average / Moyenne</v>
      </c>
      <c r="L93" s="3" t="str">
        <f ca="1">IFERROR(textbefore(Raw_Data!L93," / "),Raw_Data!L93)</f>
        <v>Often / Souvent</v>
      </c>
      <c r="M93" s="3" t="str">
        <f ca="1">IFERROR(textbefore(Raw_Data!M93," / "),Raw_Data!M93)</f>
        <v>Slow internet / Internet lent;No signal / Pas de rÃ©seau;Poor call quality / Mauvaise qualitÃ© dâ€™appel;Network outages / Pannes rÃ©seau</v>
      </c>
      <c r="N93" s="3" t="str">
        <f ca="1">IFERROR(textbefore(Raw_Data!N93," / "),Raw_Data!N93)</f>
        <v>Often / Souvent</v>
      </c>
      <c r="O93" s="3" t="str">
        <f ca="1">IFERROR(textbefore(Raw_Data!O93," / "),Raw_Data!O93)</f>
        <v>Afternoon / AprÃ¨s-midi</v>
      </c>
      <c r="P93" s="3" t="str">
        <f ca="1">IFERROR(textbefore(Raw_Data!P93," / "),Raw_Data!P93)</f>
        <v>Everywhere / Partout</v>
      </c>
      <c r="Q93" s="3" t="str">
        <f ca="1">IFERROR(textbefore(Raw_Data!Q93," / "),Raw_Data!Q93)</f>
        <v>Weak / Faible</v>
      </c>
      <c r="R93" s="3" t="str">
        <f ca="1">IFERROR(textbefore(Raw_Data!R93," / "),Raw_Data!R93)</f>
        <v>Slightly / Un peu</v>
      </c>
      <c r="S93" s="3" t="str">
        <f ca="1">IFERROR(textbefore(Raw_Data!S93," / "),Raw_Data!S93)</f>
        <v>Yes / Oui</v>
      </c>
      <c r="T93" s="3" t="str">
        <f ca="1">IFERROR(textbefore(Raw_Data!T93," / "),Raw_Data!T93)</f>
        <v>No / Non</v>
      </c>
      <c r="U93" s="3" t="str">
        <f ca="1">IFERROR(textbefore(Raw_Data!U93," / "),Raw_Data!U93)</f>
        <v>Every time / Ã€ chaque fois</v>
      </c>
      <c r="V93" s="3" t="str">
        <f ca="1">IFERROR(textbefore(Raw_Data!V93," / "),Raw_Data!V93)</f>
        <v>No / Non</v>
      </c>
      <c r="W93" s="3" t="str">
        <f ca="1">IFERROR(textbefore(Raw_Data!W93," / "),Raw_Data!W93)</f>
        <v>Privacy / ConfidentialitÃ©;Data usage / Consommation de donnÃ©es</v>
      </c>
    </row>
    <row r="94" spans="1:23" ht="24.75" customHeight="1" x14ac:dyDescent="0.35">
      <c r="A94" s="3" t="str">
        <f>Raw_Data!A94</f>
        <v>2026/04/24 1:25:50 PM GMT+1</v>
      </c>
      <c r="B94" s="3" t="str">
        <f>Raw_Data!B94</f>
        <v>michaelboma157@gmail.com</v>
      </c>
      <c r="C94" s="3" t="str">
        <f ca="1">IFERROR(textbefore(Raw_Data!C94," / "),Raw_Data!C94)</f>
        <v>MTN;Orange</v>
      </c>
      <c r="D94" s="3" t="str">
        <f ca="1">IFERROR(textbefore(Raw_Data!D94," / "),Raw_Data!D94)</f>
        <v>North West Region</v>
      </c>
      <c r="E94" s="3" t="str">
        <f ca="1">IFERROR(textbefore(Raw_Data!E94," / "),Raw_Data!E94)</f>
        <v>Android;iPhone</v>
      </c>
      <c r="F94" s="3" t="str">
        <f ca="1">IFERROR(textbefore(Raw_Data!F94," / "),Raw_Data!F94)</f>
        <v>15-20</v>
      </c>
      <c r="G94" s="3" t="str">
        <f ca="1">IFERROR(textbefore(textbefore(Raw_Data!G94,";")," / "),IFERROR(textbefore(Raw_Data!G94," / "),Raw_Data!G94))</f>
        <v>Very often / TrÃ¨s souvent</v>
      </c>
      <c r="H94" s="3" t="str">
        <f ca="1">IFERROR(textbefore(Raw_Data!H94," / "),Raw_Data!H94)</f>
        <v>Social media / RÃ©seaux sociaux;Video streaming / VidÃ©o (YouTube, Netflix);Messaging / Messagerie (WhatsApp, etc.);Online classes/work / Cours ou travail en ligne;Browsing / Navigation</v>
      </c>
      <c r="I94" s="3" t="str">
        <f ca="1">IFERROR(textbefore(Raw_Data!I94," / "),Raw_Data!I94)</f>
        <v>Poor / Mauvaise</v>
      </c>
      <c r="J94" s="3">
        <f>Raw_Data!J94</f>
        <v>3</v>
      </c>
      <c r="K94" s="3" t="str">
        <f ca="1">IFERROR(textbefore(Raw_Data!K94," / "),Raw_Data!K94)</f>
        <v>Average / Moyenne</v>
      </c>
      <c r="L94" s="3" t="str">
        <f ca="1">IFERROR(textbefore(Raw_Data!L94," / "),Raw_Data!L94)</f>
        <v>Often / Souvent</v>
      </c>
      <c r="M94" s="3" t="str">
        <f ca="1">IFERROR(textbefore(Raw_Data!M94," / "),Raw_Data!M94)</f>
        <v>Slow internet / Internet lent;Poor call quality / Mauvaise qualitÃ© dâ€™appel;Network outages / Pannes rÃ©seau</v>
      </c>
      <c r="N94" s="3" t="str">
        <f ca="1">IFERROR(textbefore(Raw_Data!N94," / "),Raw_Data!N94)</f>
        <v>Very often / TrÃ¨s souvent</v>
      </c>
      <c r="O94" s="3" t="str">
        <f ca="1">IFERROR(textbefore(Raw_Data!O94," / "),Raw_Data!O94)</f>
        <v>Evening / Soir</v>
      </c>
      <c r="P94" s="3" t="str">
        <f ca="1">IFERROR(textbefore(Raw_Data!P94," / "),Raw_Data!P94)</f>
        <v>Everywhere / Partout</v>
      </c>
      <c r="Q94" s="3" t="str">
        <f ca="1">IFERROR(textbefore(Raw_Data!Q94," / "),Raw_Data!Q94)</f>
        <v>Moderate / Moyen</v>
      </c>
      <c r="R94" s="3" t="str">
        <f ca="1">IFERROR(textbefore(Raw_Data!R94," / "),Raw_Data!R94)</f>
        <v>Moderately / Moyennement</v>
      </c>
      <c r="S94" s="3" t="str">
        <f ca="1">IFERROR(textbefore(Raw_Data!S94," / "),Raw_Data!S94)</f>
        <v>Yes / Oui</v>
      </c>
      <c r="T94" s="3" t="str">
        <f ca="1">IFERROR(textbefore(Raw_Data!T94," / "),Raw_Data!T94)</f>
        <v>Yes / Oui</v>
      </c>
      <c r="U94" s="3" t="str">
        <f ca="1">IFERROR(textbefore(Raw_Data!U94," / "),Raw_Data!U94)</f>
        <v>Only when there is a problem / Seulement en cas de problÃ¨me</v>
      </c>
      <c r="V94" s="3" t="str">
        <f ca="1">IFERROR(textbefore(Raw_Data!V94," / "),Raw_Data!V94)</f>
        <v>Yes / Oui</v>
      </c>
      <c r="W94" s="3" t="str">
        <f ca="1">IFERROR(textbefore(Raw_Data!W94," / "),Raw_Data!W94)</f>
        <v>Security / SÃ©curitÃ©</v>
      </c>
    </row>
    <row r="95" spans="1:23" ht="24.75" customHeight="1" x14ac:dyDescent="0.35">
      <c r="A95" s="3" t="str">
        <f>Raw_Data!A95</f>
        <v>2026/04/24 1:36:12 PM GMT+1</v>
      </c>
      <c r="B95" s="3" t="str">
        <f>Raw_Data!B95</f>
        <v>verngum@gmail.com</v>
      </c>
      <c r="C95" s="3" t="str">
        <f ca="1">IFERROR(textbefore(Raw_Data!C95," / "),Raw_Data!C95)</f>
        <v>MTN</v>
      </c>
      <c r="D95" s="3" t="str">
        <f ca="1">IFERROR(textbefore(Raw_Data!D95," / "),Raw_Data!D95)</f>
        <v>Southwest Region</v>
      </c>
      <c r="E95" s="3" t="str">
        <f ca="1">IFERROR(textbefore(Raw_Data!E95," / "),Raw_Data!E95)</f>
        <v>Android</v>
      </c>
      <c r="F95" s="3" t="str">
        <f ca="1">IFERROR(textbefore(Raw_Data!F95," / "),Raw_Data!F95)</f>
        <v>20-25</v>
      </c>
      <c r="G95" s="3" t="str">
        <f ca="1">IFERROR(textbefore(textbefore(Raw_Data!G95,";")," / "),IFERROR(textbefore(Raw_Data!G95," / "),Raw_Data!G95))</f>
        <v>Very often / TrÃ¨s souvent</v>
      </c>
      <c r="H95" s="3" t="str">
        <f ca="1">IFERROR(textbefore(Raw_Data!H95," / "),Raw_Data!H95)</f>
        <v>Video streaming / VidÃ©o (YouTube, Netflix);Messaging / Messagerie (WhatsApp, etc.);Online classes/work / Cours ou travail en ligne;Browsing / Navigation</v>
      </c>
      <c r="I95" s="3" t="str">
        <f ca="1">IFERROR(textbefore(Raw_Data!I95," / "),Raw_Data!I95)</f>
        <v>Average / Moyenne</v>
      </c>
      <c r="J95" s="3">
        <f>Raw_Data!J95</f>
        <v>3</v>
      </c>
      <c r="K95" s="3" t="str">
        <f ca="1">IFERROR(textbefore(Raw_Data!K95," / "),Raw_Data!K95)</f>
        <v>Average / Moyenne</v>
      </c>
      <c r="L95" s="3" t="str">
        <f ca="1">IFERROR(textbefore(Raw_Data!L95," / "),Raw_Data!L95)</f>
        <v>Often / Souvent</v>
      </c>
      <c r="M95" s="3" t="str">
        <f ca="1">IFERROR(textbefore(Raw_Data!M95," / "),Raw_Data!M95)</f>
        <v>Slow internet / Internet lent;No signal / Pas de rÃ©seau;Network outages / Pannes rÃ©seau</v>
      </c>
      <c r="N95" s="3" t="str">
        <f ca="1">IFERROR(textbefore(Raw_Data!N95," / "),Raw_Data!N95)</f>
        <v>Often / Souvent</v>
      </c>
      <c r="O95" s="3" t="str">
        <f ca="1">IFERROR(textbefore(Raw_Data!O95," / "),Raw_Data!O95)</f>
        <v>Afternoon / AprÃ¨s-midi</v>
      </c>
      <c r="P95" s="3" t="str">
        <f ca="1">IFERROR(textbefore(Raw_Data!P95," / "),Raw_Data!P95)</f>
        <v>Everywhere / Partout</v>
      </c>
      <c r="Q95" s="3" t="str">
        <f ca="1">IFERROR(textbefore(Raw_Data!Q95," / "),Raw_Data!Q95)</f>
        <v>Moderate / Moyen</v>
      </c>
      <c r="R95" s="3" t="str">
        <f ca="1">IFERROR(textbefore(Raw_Data!R95," / "),Raw_Data!R95)</f>
        <v>Severely / Beaucoup</v>
      </c>
      <c r="S95" s="3" t="str">
        <f ca="1">IFERROR(textbefore(Raw_Data!S95," / "),Raw_Data!S95)</f>
        <v>Yes / Oui</v>
      </c>
      <c r="T95" s="3" t="str">
        <f ca="1">IFERROR(textbefore(Raw_Data!T95," / "),Raw_Data!T95)</f>
        <v>Yes / Oui</v>
      </c>
      <c r="U95" s="3" t="str">
        <f ca="1">IFERROR(textbefore(Raw_Data!U95," / "),Raw_Data!U95)</f>
        <v>Once a day / Une fois par jour</v>
      </c>
      <c r="V95" s="3" t="str">
        <f ca="1">IFERROR(textbefore(Raw_Data!V95," / "),Raw_Data!V95)</f>
        <v>No / Non</v>
      </c>
      <c r="W95" s="3" t="str">
        <f ca="1">IFERROR(textbefore(Raw_Data!W95," / "),Raw_Data!W95)</f>
        <v>Privacy / ConfidentialitÃ©;Data usage / Consommation de donnÃ©es;Security / SÃ©curitÃ©</v>
      </c>
    </row>
    <row r="96" spans="1:23" ht="24.75" customHeight="1" x14ac:dyDescent="0.35">
      <c r="A96" s="3" t="str">
        <f>Raw_Data!A96</f>
        <v>2026/04/24 1:38:52 PM GMT+1</v>
      </c>
      <c r="B96" s="3" t="str">
        <f>Raw_Data!B96</f>
        <v>ndichiadenis@gmail.com</v>
      </c>
      <c r="C96" s="3" t="str">
        <f ca="1">IFERROR(textbefore(Raw_Data!C96," / "),Raw_Data!C96)</f>
        <v>MTN;Orange</v>
      </c>
      <c r="D96" s="3" t="str">
        <f ca="1">IFERROR(textbefore(Raw_Data!D96," / "),Raw_Data!D96)</f>
        <v>North West Region</v>
      </c>
      <c r="E96" s="3" t="str">
        <f ca="1">IFERROR(textbefore(Raw_Data!E96," / "),Raw_Data!E96)</f>
        <v>Android</v>
      </c>
      <c r="F96" s="3" t="str">
        <f ca="1">IFERROR(textbefore(Raw_Data!F96," / "),Raw_Data!F96)</f>
        <v>15-20</v>
      </c>
      <c r="G96" s="3" t="str">
        <f ca="1">IFERROR(textbefore(textbefore(Raw_Data!G96,";")," / "),IFERROR(textbefore(Raw_Data!G96," / "),Raw_Data!G96))</f>
        <v>Very often / TrÃ¨s souvent</v>
      </c>
      <c r="H96" s="3" t="str">
        <f ca="1">IFERROR(textbefore(Raw_Data!H96," / "),Raw_Data!H96)</f>
        <v>Social media / RÃ©seaux sociaux;Video streaming / VidÃ©o (YouTube, Netflix);Messaging / Messagerie (WhatsApp, etc.);Online classes/work / Cours ou travail en ligne</v>
      </c>
      <c r="I96" s="3" t="str">
        <f ca="1">IFERROR(textbefore(Raw_Data!I96," / "),Raw_Data!I96)</f>
        <v>Average / Moyenne</v>
      </c>
      <c r="J96" s="3">
        <f>Raw_Data!J96</f>
        <v>3</v>
      </c>
      <c r="K96" s="3" t="str">
        <f ca="1">IFERROR(textbefore(Raw_Data!K96," / "),Raw_Data!K96)</f>
        <v>Average / Moyenne</v>
      </c>
      <c r="L96" s="3" t="str">
        <f ca="1">IFERROR(textbefore(Raw_Data!L96," / "),Raw_Data!L96)</f>
        <v>Often / Souvent</v>
      </c>
      <c r="M96" s="3" t="str">
        <f ca="1">IFERROR(textbefore(Raw_Data!M96," / "),Raw_Data!M96)</f>
        <v>Slow internet / Internet lent</v>
      </c>
      <c r="N96" s="3" t="str">
        <f ca="1">IFERROR(textbefore(Raw_Data!N96," / "),Raw_Data!N96)</f>
        <v>Sometimes / Parfois</v>
      </c>
      <c r="O96" s="3" t="str">
        <f ca="1">IFERROR(textbefore(Raw_Data!O96," / "),Raw_Data!O96)</f>
        <v>Afternoon / AprÃ¨s-midi</v>
      </c>
      <c r="P96" s="3" t="str">
        <f ca="1">IFERROR(textbefore(Raw_Data!P96," / "),Raw_Data!P96)</f>
        <v>School/Work / Ã‰cole/Travail</v>
      </c>
      <c r="Q96" s="3" t="str">
        <f ca="1">IFERROR(textbefore(Raw_Data!Q96," / "),Raw_Data!Q96)</f>
        <v>Moderate / Moyen</v>
      </c>
      <c r="R96" s="3" t="str">
        <f ca="1">IFERROR(textbefore(Raw_Data!R96," / "),Raw_Data!R96)</f>
        <v>Severely / Beaucoup</v>
      </c>
      <c r="S96" s="3" t="str">
        <f ca="1">IFERROR(textbefore(Raw_Data!S96," / "),Raw_Data!S96)</f>
        <v>Yes / Oui</v>
      </c>
      <c r="T96" s="3" t="str">
        <f ca="1">IFERROR(textbefore(Raw_Data!T96," / "),Raw_Data!T96)</f>
        <v>Yes / Oui</v>
      </c>
      <c r="U96" s="3" t="str">
        <f ca="1">IFERROR(textbefore(Raw_Data!U96," / "),Raw_Data!U96)</f>
        <v>Only when there is a problem / Seulement en cas de problÃ¨me</v>
      </c>
      <c r="V96" s="3" t="str">
        <f ca="1">IFERROR(textbefore(Raw_Data!V96," / "),Raw_Data!V96)</f>
        <v>Yes / Oui</v>
      </c>
      <c r="W96" s="3" t="str">
        <f ca="1">IFERROR(textbefore(Raw_Data!W96," / "),Raw_Data!W96)</f>
        <v>Privacy / ConfidentialitÃ©;Battery usage / Batterie;Data usage / Consommation de donnÃ©es;Security / SÃ©curitÃ©</v>
      </c>
    </row>
    <row r="97" spans="1:23" ht="24.75" customHeight="1" x14ac:dyDescent="0.35">
      <c r="A97" s="3" t="str">
        <f>Raw_Data!A97</f>
        <v>2026/04/24 1:59:57 PM GMT+1</v>
      </c>
      <c r="B97" s="3" t="str">
        <f>Raw_Data!B97</f>
        <v>darlainegnivobo@gmail.com</v>
      </c>
      <c r="C97" s="3" t="str">
        <f ca="1">IFERROR(textbefore(Raw_Data!C97," / "),Raw_Data!C97)</f>
        <v>MTN;Orange;Camtel</v>
      </c>
      <c r="D97" s="3" t="str">
        <f ca="1">IFERROR(textbefore(Raw_Data!D97," / "),Raw_Data!D97)</f>
        <v>Adamawa Region</v>
      </c>
      <c r="E97" s="3" t="str">
        <f ca="1">IFERROR(textbefore(Raw_Data!E97," / "),Raw_Data!E97)</f>
        <v>Android</v>
      </c>
      <c r="F97" s="3" t="str">
        <f ca="1">IFERROR(textbefore(Raw_Data!F97," / "),Raw_Data!F97)</f>
        <v>20-25</v>
      </c>
      <c r="G97" s="3" t="str">
        <f ca="1">IFERROR(textbefore(textbefore(Raw_Data!G97,";")," / "),IFERROR(textbefore(Raw_Data!G97," / "),Raw_Data!G97))</f>
        <v>Often / Souvent</v>
      </c>
      <c r="H97" s="3" t="str">
        <f ca="1">IFERROR(textbefore(Raw_Data!H97," / "),Raw_Data!H97)</f>
        <v>Social media / RÃ©seaux sociaux;Video streaming / VidÃ©o (YouTube, Netflix);Messaging / Messagerie (WhatsApp, etc.);Gaming / Jeux</v>
      </c>
      <c r="I97" s="3" t="str">
        <f ca="1">IFERROR(textbefore(Raw_Data!I97," / "),Raw_Data!I97)</f>
        <v>Average / Moyenne</v>
      </c>
      <c r="J97" s="3">
        <f>Raw_Data!J97</f>
        <v>2</v>
      </c>
      <c r="K97" s="3" t="str">
        <f ca="1">IFERROR(textbefore(Raw_Data!K97," / "),Raw_Data!K97)</f>
        <v>Average / Moyenne</v>
      </c>
      <c r="L97" s="3" t="str">
        <f ca="1">IFERROR(textbefore(Raw_Data!L97," / "),Raw_Data!L97)</f>
        <v>Often / Souvent</v>
      </c>
      <c r="M97" s="3" t="str">
        <f ca="1">IFERROR(textbefore(Raw_Data!M97," / "),Raw_Data!M97)</f>
        <v>Slow internet / Internet lent;Call drops / Coupures d'appel;No signal / Pas de rÃ©seau;Poor call quality / Mauvaise qualitÃ© dâ€™appel;Network outages / Pannes rÃ©seau</v>
      </c>
      <c r="N97" s="3" t="str">
        <f ca="1">IFERROR(textbefore(Raw_Data!N97," / "),Raw_Data!N97)</f>
        <v>Very often / TrÃ¨s souvent</v>
      </c>
      <c r="O97" s="3" t="str">
        <f ca="1">IFERROR(textbefore(Raw_Data!O97," / "),Raw_Data!O97)</f>
        <v>Morning / Matin</v>
      </c>
      <c r="P97" s="3" t="str">
        <f ca="1">IFERROR(textbefore(Raw_Data!P97," / "),Raw_Data!P97)</f>
        <v>School/Work / Ã‰cole/Travail;On the road / En dÃ©placement;Everywhere / Partout</v>
      </c>
      <c r="Q97" s="3" t="str">
        <f ca="1">IFERROR(textbefore(Raw_Data!Q97," / "),Raw_Data!Q97)</f>
        <v>Moderate / Moyen</v>
      </c>
      <c r="R97" s="3" t="str">
        <f ca="1">IFERROR(textbefore(Raw_Data!R97," / "),Raw_Data!R97)</f>
        <v>Moderately / Moyennement</v>
      </c>
      <c r="S97" s="3" t="str">
        <f ca="1">IFERROR(textbefore(Raw_Data!S97," / "),Raw_Data!S97)</f>
        <v>Yes / Oui</v>
      </c>
      <c r="T97" s="3" t="str">
        <f ca="1">IFERROR(textbefore(Raw_Data!T97," / "),Raw_Data!T97)</f>
        <v>Yes / Oui</v>
      </c>
      <c r="U97" s="3" t="str">
        <f ca="1">IFERROR(textbefore(Raw_Data!U97," / "),Raw_Data!U97)</f>
        <v>Only when there is a problem / Seulement en cas de problÃ¨me</v>
      </c>
      <c r="V97" s="3" t="str">
        <f ca="1">IFERROR(textbefore(Raw_Data!V97," / "),Raw_Data!V97)</f>
        <v>Yes / Oui</v>
      </c>
      <c r="W97" s="3" t="str">
        <f ca="1">IFERROR(textbefore(Raw_Data!W97," / "),Raw_Data!W97)</f>
        <v>Privacy / ConfidentialitÃ©;Battery usage / Batterie;Data usage / Consommation de donnÃ©es;Security / SÃ©curitÃ©</v>
      </c>
    </row>
    <row r="98" spans="1:23" ht="24.75" customHeight="1" x14ac:dyDescent="0.35">
      <c r="A98" s="3" t="str">
        <f>Raw_Data!A98</f>
        <v>2026/04/24 2:17:36 PM GMT+1</v>
      </c>
      <c r="B98" s="3" t="str">
        <f>Raw_Data!B98</f>
        <v>samuelwilliammvogo@gmail.com</v>
      </c>
      <c r="C98" s="3" t="str">
        <f ca="1">IFERROR(textbefore(Raw_Data!C98," / "),Raw_Data!C98)</f>
        <v>MTN;Orange</v>
      </c>
      <c r="D98" s="3" t="str">
        <f ca="1">IFERROR(textbefore(Raw_Data!D98," / "),Raw_Data!D98)</f>
        <v>Littoral Region</v>
      </c>
      <c r="E98" s="3" t="str">
        <f ca="1">IFERROR(textbefore(Raw_Data!E98," / "),Raw_Data!E98)</f>
        <v>Android</v>
      </c>
      <c r="F98" s="3" t="str">
        <f ca="1">IFERROR(textbefore(Raw_Data!F98," / "),Raw_Data!F98)</f>
        <v>15-20</v>
      </c>
      <c r="G98" s="3" t="str">
        <f ca="1">IFERROR(textbefore(textbefore(Raw_Data!G98,";")," / "),IFERROR(textbefore(Raw_Data!G98," / "),Raw_Data!G98))</f>
        <v>Very often / TrÃ¨s souvent</v>
      </c>
      <c r="H98" s="3" t="str">
        <f ca="1">IFERROR(textbefore(Raw_Data!H98," / "),Raw_Data!H98)</f>
        <v>Social media / RÃ©seaux sociaux;Video streaming / VidÃ©o (YouTube, Netflix);Messaging / Messagerie (WhatsApp, etc.);Online classes/work / Cours ou travail en ligne;Gaming / Jeux;Browsing / Navigation</v>
      </c>
      <c r="I98" s="3" t="str">
        <f ca="1">IFERROR(textbefore(Raw_Data!I98," / "),Raw_Data!I98)</f>
        <v>Average / Moyenne</v>
      </c>
      <c r="J98" s="3">
        <f>Raw_Data!J98</f>
        <v>3</v>
      </c>
      <c r="K98" s="3" t="str">
        <f ca="1">IFERROR(textbefore(Raw_Data!K98," / "),Raw_Data!K98)</f>
        <v>Good / Stable</v>
      </c>
      <c r="L98" s="3" t="str">
        <f ca="1">IFERROR(textbefore(Raw_Data!L98," / "),Raw_Data!L98)</f>
        <v>Sometimes / Parfois</v>
      </c>
      <c r="M98" s="3" t="str">
        <f ca="1">IFERROR(textbefore(Raw_Data!M98," / "),Raw_Data!M98)</f>
        <v>Slow internet / Internet lent;Network outages / Pannes rÃ©seau</v>
      </c>
      <c r="N98" s="3" t="str">
        <f ca="1">IFERROR(textbefore(Raw_Data!N98," / "),Raw_Data!N98)</f>
        <v>Sometimes / Parfois</v>
      </c>
      <c r="O98" s="3" t="str">
        <f ca="1">IFERROR(textbefore(Raw_Data!O98," / "),Raw_Data!O98)</f>
        <v>Morning / Matin</v>
      </c>
      <c r="P98" s="3" t="str">
        <f ca="1">IFERROR(textbefore(Raw_Data!P98," / "),Raw_Data!P98)</f>
        <v>Everywhere / Partout</v>
      </c>
      <c r="Q98" s="3" t="str">
        <f ca="1">IFERROR(textbefore(Raw_Data!Q98," / "),Raw_Data!Q98)</f>
        <v>Moderate / Moyen</v>
      </c>
      <c r="R98" s="3" t="str">
        <f ca="1">IFERROR(textbefore(Raw_Data!R98," / "),Raw_Data!R98)</f>
        <v>Severely / Beaucoup</v>
      </c>
      <c r="S98" s="3" t="str">
        <f ca="1">IFERROR(textbefore(Raw_Data!S98," / "),Raw_Data!S98)</f>
        <v>Yes / Oui</v>
      </c>
      <c r="T98" s="3" t="str">
        <f ca="1">IFERROR(textbefore(Raw_Data!T98," / "),Raw_Data!T98)</f>
        <v>Yes / Oui</v>
      </c>
      <c r="U98" s="3" t="str">
        <f ca="1">IFERROR(textbefore(Raw_Data!U98," / "),Raw_Data!U98)</f>
        <v>Once a day / Une fois par jour</v>
      </c>
      <c r="V98" s="3" t="str">
        <f ca="1">IFERROR(textbefore(Raw_Data!V98," / "),Raw_Data!V98)</f>
        <v>Yes / Oui</v>
      </c>
      <c r="W98" s="3" t="str">
        <f ca="1">IFERROR(textbefore(Raw_Data!W98," / "),Raw_Data!W98)</f>
        <v>Privacy / ConfidentialitÃ©;Data usage / Consommation de donnÃ©es;Security / SÃ©curitÃ©</v>
      </c>
    </row>
    <row r="99" spans="1:23" ht="24.75" customHeight="1" x14ac:dyDescent="0.35">
      <c r="A99" s="3" t="str">
        <f>Raw_Data!A99</f>
        <v>2026/04/24 2:37:34 PM GMT+1</v>
      </c>
      <c r="B99" s="3" t="str">
        <f>Raw_Data!B99</f>
        <v>maigongneb@gmail.com</v>
      </c>
      <c r="C99" s="3" t="str">
        <f ca="1">IFERROR(textbefore(Raw_Data!C99," / "),Raw_Data!C99)</f>
        <v>Camtel</v>
      </c>
      <c r="D99" s="3" t="str">
        <f ca="1">IFERROR(textbefore(Raw_Data!D99," / "),Raw_Data!D99)</f>
        <v>Adamawa Region</v>
      </c>
      <c r="E99" s="3" t="str">
        <f ca="1">IFERROR(textbefore(Raw_Data!E99," / "),Raw_Data!E99)</f>
        <v>Android</v>
      </c>
      <c r="F99" s="3" t="str">
        <f ca="1">IFERROR(textbefore(Raw_Data!F99," / "),Raw_Data!F99)</f>
        <v>20-25</v>
      </c>
      <c r="G99" s="3" t="str">
        <f ca="1">IFERROR(textbefore(textbefore(Raw_Data!G99,";")," / "),IFERROR(textbefore(Raw_Data!G99," / "),Raw_Data!G99))</f>
        <v>Very often / TrÃ¨s souvent</v>
      </c>
      <c r="H99" s="3" t="str">
        <f ca="1">IFERROR(textbefore(Raw_Data!H99," / "),Raw_Data!H99)</f>
        <v>Social media / RÃ©seaux sociaux</v>
      </c>
      <c r="I99" s="3" t="str">
        <f ca="1">IFERROR(textbefore(Raw_Data!I99," / "),Raw_Data!I99)</f>
        <v>Poor / Mauvaise</v>
      </c>
      <c r="J99" s="3">
        <f>Raw_Data!J99</f>
        <v>2</v>
      </c>
      <c r="K99" s="3" t="str">
        <f ca="1">IFERROR(textbefore(Raw_Data!K99," / "),Raw_Data!K99)</f>
        <v>Poor / Instable</v>
      </c>
      <c r="L99" s="3" t="str">
        <f ca="1">IFERROR(textbefore(Raw_Data!L99," / "),Raw_Data!L99)</f>
        <v>Sometimes / Parfois</v>
      </c>
      <c r="M99" s="3" t="str">
        <f ca="1">IFERROR(textbefore(Raw_Data!M99," / "),Raw_Data!M99)</f>
        <v>Slow internet / Internet lent</v>
      </c>
      <c r="N99" s="3" t="str">
        <f ca="1">IFERROR(textbefore(Raw_Data!N99," / "),Raw_Data!N99)</f>
        <v>Very often / TrÃ¨s souvent</v>
      </c>
      <c r="O99" s="3" t="str">
        <f ca="1">IFERROR(textbefore(Raw_Data!O99," / "),Raw_Data!O99)</f>
        <v>Afternoon / AprÃ¨s-midi</v>
      </c>
      <c r="P99" s="3" t="str">
        <f ca="1">IFERROR(textbefore(Raw_Data!P99," / "),Raw_Data!P99)</f>
        <v>Everywhere / Partout</v>
      </c>
      <c r="Q99" s="3" t="str">
        <f ca="1">IFERROR(textbefore(Raw_Data!Q99," / "),Raw_Data!Q99)</f>
        <v>Moderate / Moyen</v>
      </c>
      <c r="R99" s="3" t="str">
        <f ca="1">IFERROR(textbefore(Raw_Data!R99," / "),Raw_Data!R99)</f>
        <v>Moderately / Moyennement</v>
      </c>
      <c r="S99" s="3" t="str">
        <f ca="1">IFERROR(textbefore(Raw_Data!S99," / "),Raw_Data!S99)</f>
        <v>Yes / Oui</v>
      </c>
      <c r="T99" s="3" t="str">
        <f ca="1">IFERROR(textbefore(Raw_Data!T99," / "),Raw_Data!T99)</f>
        <v>Yes / Oui</v>
      </c>
      <c r="U99" s="3" t="str">
        <f ca="1">IFERROR(textbefore(Raw_Data!U99," / "),Raw_Data!U99)</f>
        <v>Once a day / Une fois par jour</v>
      </c>
      <c r="V99" s="3" t="str">
        <f ca="1">IFERROR(textbefore(Raw_Data!V99," / "),Raw_Data!V99)</f>
        <v>Yes / Oui</v>
      </c>
      <c r="W99" s="3" t="str">
        <f ca="1">IFERROR(textbefore(Raw_Data!W99," / "),Raw_Data!W99)</f>
        <v>Security / SÃ©curitÃ©</v>
      </c>
    </row>
    <row r="100" spans="1:23" ht="24.75" customHeight="1" x14ac:dyDescent="0.35">
      <c r="A100" s="3" t="str">
        <f>Raw_Data!A100</f>
        <v>2026/04/24 3:01:19 PM GMT+1</v>
      </c>
      <c r="B100" s="3" t="str">
        <f>Raw_Data!B100</f>
        <v>stellaateh891@gmail.com</v>
      </c>
      <c r="C100" s="3" t="str">
        <f ca="1">IFERROR(textbefore(Raw_Data!C100," / "),Raw_Data!C100)</f>
        <v>MTN</v>
      </c>
      <c r="D100" s="3" t="str">
        <f ca="1">IFERROR(textbefore(Raw_Data!D100," / "),Raw_Data!D100)</f>
        <v>West Region</v>
      </c>
      <c r="E100" s="3" t="str">
        <f ca="1">IFERROR(textbefore(Raw_Data!E100," / "),Raw_Data!E100)</f>
        <v>Android</v>
      </c>
      <c r="F100" s="3" t="str">
        <f ca="1">IFERROR(textbefore(Raw_Data!F100," / "),Raw_Data!F100)</f>
        <v>25 and above</v>
      </c>
      <c r="G100" s="3" t="str">
        <f ca="1">IFERROR(textbefore(textbefore(Raw_Data!G100,";")," / "),IFERROR(textbefore(Raw_Data!G100," / "),Raw_Data!G100))</f>
        <v>Very often / TrÃ¨s souvent</v>
      </c>
      <c r="H100" s="3" t="str">
        <f ca="1">IFERROR(textbefore(Raw_Data!H100," / "),Raw_Data!H100)</f>
        <v>Social media / RÃ©seaux sociaux;Messaging / Messagerie (WhatsApp, etc.);Gaming / Jeux</v>
      </c>
      <c r="I100" s="3" t="str">
        <f ca="1">IFERROR(textbefore(Raw_Data!I100," / "),Raw_Data!I100)</f>
        <v>Average / Moyenne</v>
      </c>
      <c r="J100" s="3">
        <f>Raw_Data!J100</f>
        <v>3</v>
      </c>
      <c r="K100" s="3" t="str">
        <f ca="1">IFERROR(textbefore(Raw_Data!K100," / "),Raw_Data!K100)</f>
        <v>Good / Stable</v>
      </c>
      <c r="L100" s="3" t="str">
        <f ca="1">IFERROR(textbefore(Raw_Data!L100," / "),Raw_Data!L100)</f>
        <v>Sometimes / Parfois</v>
      </c>
      <c r="M100" s="3" t="str">
        <f ca="1">IFERROR(textbefore(Raw_Data!M100," / "),Raw_Data!M100)</f>
        <v>Slow internet / Internet lent</v>
      </c>
      <c r="N100" s="3" t="str">
        <f ca="1">IFERROR(textbefore(Raw_Data!N100," / "),Raw_Data!N100)</f>
        <v>Sometimes / Parfois</v>
      </c>
      <c r="O100" s="3" t="str">
        <f ca="1">IFERROR(textbefore(Raw_Data!O100," / "),Raw_Data!O100)</f>
        <v>Evening / Soir</v>
      </c>
      <c r="P100" s="3" t="str">
        <f ca="1">IFERROR(textbefore(Raw_Data!P100," / "),Raw_Data!P100)</f>
        <v>Everywhere / Partout</v>
      </c>
      <c r="Q100" s="3" t="str">
        <f ca="1">IFERROR(textbefore(Raw_Data!Q100," / "),Raw_Data!Q100)</f>
        <v>Moderate / Moyen</v>
      </c>
      <c r="R100" s="3" t="str">
        <f ca="1">IFERROR(textbefore(Raw_Data!R100," / "),Raw_Data!R100)</f>
        <v>Severely / Beaucoup</v>
      </c>
      <c r="S100" s="3" t="str">
        <f ca="1">IFERROR(textbefore(Raw_Data!S100," / "),Raw_Data!S100)</f>
        <v>Yes / Oui</v>
      </c>
      <c r="T100" s="3" t="str">
        <f ca="1">IFERROR(textbefore(Raw_Data!T100," / "),Raw_Data!T100)</f>
        <v>Yes / Oui</v>
      </c>
      <c r="U100" s="3" t="str">
        <f ca="1">IFERROR(textbefore(Raw_Data!U100," / "),Raw_Data!U100)</f>
        <v>Every time / Ã€ chaque fois</v>
      </c>
      <c r="V100" s="3" t="str">
        <f ca="1">IFERROR(textbefore(Raw_Data!V100," / "),Raw_Data!V100)</f>
        <v>No / Non</v>
      </c>
      <c r="W100" s="3" t="str">
        <f ca="1">IFERROR(textbefore(Raw_Data!W100," / "),Raw_Data!W100)</f>
        <v>Privacy / ConfidentialitÃ©</v>
      </c>
    </row>
    <row r="101" spans="1:23" ht="24.75" customHeight="1" x14ac:dyDescent="0.35">
      <c r="A101" s="3" t="str">
        <f>Raw_Data!A101</f>
        <v>2026/04/24 3:15:16 PM GMT+1</v>
      </c>
      <c r="B101" s="3" t="str">
        <f>Raw_Data!B101</f>
        <v>stallymeli@gmail.com</v>
      </c>
      <c r="C101" s="3" t="str">
        <f ca="1">IFERROR(textbefore(Raw_Data!C101," / "),Raw_Data!C101)</f>
        <v>MTN;Orange;Camtel</v>
      </c>
      <c r="D101" s="3" t="str">
        <f ca="1">IFERROR(textbefore(Raw_Data!D101," / "),Raw_Data!D101)</f>
        <v>Littoral Region</v>
      </c>
      <c r="E101" s="3" t="str">
        <f ca="1">IFERROR(textbefore(Raw_Data!E101," / "),Raw_Data!E101)</f>
        <v>Android</v>
      </c>
      <c r="F101" s="3" t="str">
        <f ca="1">IFERROR(textbefore(Raw_Data!F101," / "),Raw_Data!F101)</f>
        <v>25 and above</v>
      </c>
      <c r="G101" s="3" t="str">
        <f ca="1">IFERROR(textbefore(textbefore(Raw_Data!G101,";")," / "),IFERROR(textbefore(Raw_Data!G101," / "),Raw_Data!G101))</f>
        <v>Very often / TrÃ¨s souvent</v>
      </c>
      <c r="H101" s="3" t="str">
        <f ca="1">IFERROR(textbefore(Raw_Data!H101," / "),Raw_Data!H101)</f>
        <v xml:space="preserve">Social media / RÃ©seaux sociaux;Video streaming / VidÃ©o (YouTube, Netflix);Messaging / Messagerie (WhatsApp, etc.);Online classes/work / Cours ou travail en ligne;Gaming / Jeux;Browsing / Navigation;Business </v>
      </c>
      <c r="I101" s="3" t="str">
        <f ca="1">IFERROR(textbefore(Raw_Data!I101," / "),Raw_Data!I101)</f>
        <v>Average / Moyenne</v>
      </c>
      <c r="J101" s="3">
        <f>Raw_Data!J101</f>
        <v>2</v>
      </c>
      <c r="K101" s="3" t="str">
        <f ca="1">IFERROR(textbefore(Raw_Data!K101," / "),Raw_Data!K101)</f>
        <v>Average / Moyenne</v>
      </c>
      <c r="L101" s="3" t="str">
        <f ca="1">IFERROR(textbefore(Raw_Data!L101," / "),Raw_Data!L101)</f>
        <v>Often / Souvent</v>
      </c>
      <c r="M101" s="3" t="str">
        <f ca="1">IFERROR(textbefore(Raw_Data!M101," / "),Raw_Data!M101)</f>
        <v>Slow internet / Internet lent;Call drops / Coupures d'appel;Poor call quality / Mauvaise qualitÃ© dâ€™appel</v>
      </c>
      <c r="N101" s="3" t="str">
        <f ca="1">IFERROR(textbefore(Raw_Data!N101," / "),Raw_Data!N101)</f>
        <v>Often / Souvent</v>
      </c>
      <c r="O101" s="3" t="str">
        <f ca="1">IFERROR(textbefore(Raw_Data!O101," / "),Raw_Data!O101)</f>
        <v>Evening / Soir</v>
      </c>
      <c r="P101" s="3" t="str">
        <f ca="1">IFERROR(textbefore(Raw_Data!P101," / "),Raw_Data!P101)</f>
        <v>Everywhere / Partout</v>
      </c>
      <c r="Q101" s="3" t="str">
        <f ca="1">IFERROR(textbefore(Raw_Data!Q101," / "),Raw_Data!Q101)</f>
        <v>Moderate / Moyen</v>
      </c>
      <c r="R101" s="3" t="str">
        <f ca="1">IFERROR(textbefore(Raw_Data!R101," / "),Raw_Data!R101)</f>
        <v>Moderately / Moyennement</v>
      </c>
      <c r="S101" s="3" t="str">
        <f ca="1">IFERROR(textbefore(Raw_Data!S101," / "),Raw_Data!S101)</f>
        <v>Yes / Oui</v>
      </c>
      <c r="T101" s="3" t="str">
        <f ca="1">IFERROR(textbefore(Raw_Data!T101," / "),Raw_Data!T101)</f>
        <v>Yes / Oui</v>
      </c>
      <c r="U101" s="3" t="str">
        <f ca="1">IFERROR(textbefore(Raw_Data!U101," / "),Raw_Data!U101)</f>
        <v>Once a day / Une fois par jour</v>
      </c>
      <c r="V101" s="3" t="str">
        <f ca="1">IFERROR(textbefore(Raw_Data!V101," / "),Raw_Data!V101)</f>
        <v>Yes / Oui</v>
      </c>
      <c r="W101" s="3" t="str">
        <f ca="1">IFERROR(textbefore(Raw_Data!W101," / "),Raw_Data!W101)</f>
        <v>Data usage / Consommation de donnÃ©es;Security / SÃ©curitÃ©</v>
      </c>
    </row>
    <row r="102" spans="1:23" ht="24.75" customHeight="1" x14ac:dyDescent="0.35">
      <c r="A102" s="3" t="str">
        <f>Raw_Data!A102</f>
        <v>2026/04/24 3:51:38 PM GMT+1</v>
      </c>
      <c r="B102" s="3" t="str">
        <f>Raw_Data!B102</f>
        <v>anitandille@gmail.com</v>
      </c>
      <c r="C102" s="3" t="str">
        <f ca="1">IFERROR(textbefore(Raw_Data!C102," / "),Raw_Data!C102)</f>
        <v>MTN</v>
      </c>
      <c r="D102" s="3" t="str">
        <f ca="1">IFERROR(textbefore(Raw_Data!D102," / "),Raw_Data!D102)</f>
        <v>Southwest Region</v>
      </c>
      <c r="E102" s="3" t="str">
        <f ca="1">IFERROR(textbefore(Raw_Data!E102," / "),Raw_Data!E102)</f>
        <v>Android</v>
      </c>
      <c r="F102" s="3" t="str">
        <f ca="1">IFERROR(textbefore(Raw_Data!F102," / "),Raw_Data!F102)</f>
        <v>15-20</v>
      </c>
      <c r="G102" s="3" t="str">
        <f ca="1">IFERROR(textbefore(textbefore(Raw_Data!G102,";")," / "),IFERROR(textbefore(Raw_Data!G102," / "),Raw_Data!G102))</f>
        <v>Very often / TrÃ¨s souvent</v>
      </c>
      <c r="H102" s="3" t="str">
        <f ca="1">IFERROR(textbefore(Raw_Data!H102," / "),Raw_Data!H102)</f>
        <v>Social media / RÃ©seaux sociaux;Online classes/work / Cours ou travail en ligne;Browsing / Navigation</v>
      </c>
      <c r="I102" s="3" t="str">
        <f ca="1">IFERROR(textbefore(Raw_Data!I102," / "),Raw_Data!I102)</f>
        <v>Average / Moyenne</v>
      </c>
      <c r="J102" s="3">
        <f>Raw_Data!J102</f>
        <v>4</v>
      </c>
      <c r="K102" s="3" t="str">
        <f ca="1">IFERROR(textbefore(Raw_Data!K102," / "),Raw_Data!K102)</f>
        <v>Average / Moyenne</v>
      </c>
      <c r="L102" s="3" t="str">
        <f ca="1">IFERROR(textbefore(Raw_Data!L102," / "),Raw_Data!L102)</f>
        <v>Sometimes / Parfois</v>
      </c>
      <c r="M102" s="3" t="str">
        <f ca="1">IFERROR(textbefore(Raw_Data!M102," / "),Raw_Data!M102)</f>
        <v>Slow internet / Internet lent;Poor call quality / Mauvaise qualitÃ© dâ€™appel</v>
      </c>
      <c r="N102" s="3" t="str">
        <f ca="1">IFERROR(textbefore(Raw_Data!N102," / "),Raw_Data!N102)</f>
        <v>Sometimes / Parfois</v>
      </c>
      <c r="O102" s="3" t="str">
        <f ca="1">IFERROR(textbefore(Raw_Data!O102," / "),Raw_Data!O102)</f>
        <v>Evening / Soir</v>
      </c>
      <c r="P102" s="3" t="str">
        <f ca="1">IFERROR(textbefore(Raw_Data!P102," / "),Raw_Data!P102)</f>
        <v>Everywhere / Partout</v>
      </c>
      <c r="Q102" s="3" t="str">
        <f ca="1">IFERROR(textbefore(Raw_Data!Q102," / "),Raw_Data!Q102)</f>
        <v>Moderate / Moyen</v>
      </c>
      <c r="R102" s="3" t="str">
        <f ca="1">IFERROR(textbefore(Raw_Data!R102," / "),Raw_Data!R102)</f>
        <v>Slightly / Un peu</v>
      </c>
      <c r="S102" s="3" t="str">
        <f ca="1">IFERROR(textbefore(Raw_Data!S102," / "),Raw_Data!S102)</f>
        <v>Yes / Oui</v>
      </c>
      <c r="T102" s="3" t="str">
        <f ca="1">IFERROR(textbefore(Raw_Data!T102," / "),Raw_Data!T102)</f>
        <v>Yes / Oui</v>
      </c>
      <c r="U102" s="3" t="str">
        <f ca="1">IFERROR(textbefore(Raw_Data!U102," / "),Raw_Data!U102)</f>
        <v>Only when there is a problem / Seulement en cas de problÃ¨me</v>
      </c>
      <c r="V102" s="3" t="str">
        <f ca="1">IFERROR(textbefore(Raw_Data!V102," / "),Raw_Data!V102)</f>
        <v>Yes / Oui</v>
      </c>
      <c r="W102" s="3" t="str">
        <f ca="1">IFERROR(textbefore(Raw_Data!W102," / "),Raw_Data!W102)</f>
        <v>Privacy / ConfidentialitÃ©;Data usage / Consommation de donnÃ©es</v>
      </c>
    </row>
    <row r="103" spans="1:23" ht="24.75" customHeight="1" x14ac:dyDescent="0.35">
      <c r="A103" s="3" t="str">
        <f>Raw_Data!A103</f>
        <v>2026/04/24 4:07:45 PM GMT+1</v>
      </c>
      <c r="B103" s="3" t="str">
        <f>Raw_Data!B103</f>
        <v>sheyderrick84@gmail.com</v>
      </c>
      <c r="C103" s="3" t="str">
        <f ca="1">IFERROR(textbefore(Raw_Data!C103," / "),Raw_Data!C103)</f>
        <v>MTN;Orange;Camtel</v>
      </c>
      <c r="D103" s="3" t="str">
        <f ca="1">IFERROR(textbefore(Raw_Data!D103," / "),Raw_Data!D103)</f>
        <v>South Region</v>
      </c>
      <c r="E103" s="3" t="str">
        <f ca="1">IFERROR(textbefore(Raw_Data!E103," / "),Raw_Data!E103)</f>
        <v>Android</v>
      </c>
      <c r="F103" s="3" t="str">
        <f ca="1">IFERROR(textbefore(Raw_Data!F103," / "),Raw_Data!F103)</f>
        <v>20-25</v>
      </c>
      <c r="G103" s="3" t="str">
        <f ca="1">IFERROR(textbefore(textbefore(Raw_Data!G103,";")," / "),IFERROR(textbefore(Raw_Data!G103," / "),Raw_Data!G103))</f>
        <v>Very often / TrÃ¨s souvent</v>
      </c>
      <c r="H103" s="3" t="str">
        <f ca="1">IFERROR(textbefore(Raw_Data!H103," / "),Raw_Data!H103)</f>
        <v>Social media / RÃ©seaux sociaux;Messaging / Messagerie (WhatsApp, etc.);Online classes/work / Cours ou travail en ligne;Browsing / Navigation</v>
      </c>
      <c r="I103" s="3" t="str">
        <f ca="1">IFERROR(textbefore(Raw_Data!I103," / "),Raw_Data!I103)</f>
        <v>Average / Moyenne</v>
      </c>
      <c r="J103" s="3">
        <f>Raw_Data!J103</f>
        <v>4</v>
      </c>
      <c r="K103" s="3" t="str">
        <f ca="1">IFERROR(textbefore(Raw_Data!K103," / "),Raw_Data!K103)</f>
        <v>Average / Moyenne</v>
      </c>
      <c r="L103" s="3" t="str">
        <f ca="1">IFERROR(textbefore(Raw_Data!L103," / "),Raw_Data!L103)</f>
        <v>Sometimes / Parfois</v>
      </c>
      <c r="M103" s="3" t="str">
        <f ca="1">IFERROR(textbefore(Raw_Data!M103," / "),Raw_Data!M103)</f>
        <v>Slow internet / Internet lent;Network outages / Pannes rÃ©seau</v>
      </c>
      <c r="N103" s="3" t="str">
        <f ca="1">IFERROR(textbefore(Raw_Data!N103," / "),Raw_Data!N103)</f>
        <v>Sometimes / Parfois</v>
      </c>
      <c r="O103" s="3" t="str">
        <f ca="1">IFERROR(textbefore(Raw_Data!O103," / "),Raw_Data!O103)</f>
        <v>Evening / Soir</v>
      </c>
      <c r="P103" s="3" t="str">
        <f ca="1">IFERROR(textbefore(Raw_Data!P103," / "),Raw_Data!P103)</f>
        <v>Everywhere / Partout</v>
      </c>
      <c r="Q103" s="3" t="str">
        <f ca="1">IFERROR(textbefore(Raw_Data!Q103," / "),Raw_Data!Q103)</f>
        <v>Strong / Fort</v>
      </c>
      <c r="R103" s="3" t="str">
        <f ca="1">IFERROR(textbefore(Raw_Data!R103," / "),Raw_Data!R103)</f>
        <v>Moderately / Moyennement</v>
      </c>
      <c r="S103" s="3" t="str">
        <f ca="1">IFERROR(textbefore(Raw_Data!S103," / "),Raw_Data!S103)</f>
        <v>Yes / Oui</v>
      </c>
      <c r="T103" s="3" t="str">
        <f ca="1">IFERROR(textbefore(Raw_Data!T103," / "),Raw_Data!T103)</f>
        <v>Yes / Oui</v>
      </c>
      <c r="U103" s="3" t="str">
        <f ca="1">IFERROR(textbefore(Raw_Data!U103," / "),Raw_Data!U103)</f>
        <v xml:space="preserve">Once a week or a month </v>
      </c>
      <c r="V103" s="3" t="str">
        <f ca="1">IFERROR(textbefore(Raw_Data!V103," / "),Raw_Data!V103)</f>
        <v>Yes / Oui</v>
      </c>
      <c r="W103" s="3" t="str">
        <f ca="1">IFERROR(textbefore(Raw_Data!W103," / "),Raw_Data!W103)</f>
        <v>None / Aucune</v>
      </c>
    </row>
    <row r="104" spans="1:23" ht="24.75" customHeight="1" x14ac:dyDescent="0.35">
      <c r="A104" s="3" t="str">
        <f>Raw_Data!A104</f>
        <v>2026/04/24 4:26:20 PM GMT+1</v>
      </c>
      <c r="B104" s="3" t="str">
        <f>Raw_Data!B104</f>
        <v>aldrickfokam@gmail.com</v>
      </c>
      <c r="C104" s="3" t="str">
        <f ca="1">IFERROR(textbefore(Raw_Data!C104," / "),Raw_Data!C104)</f>
        <v>MTN;Orange</v>
      </c>
      <c r="D104" s="3" t="str">
        <f ca="1">IFERROR(textbefore(Raw_Data!D104," / "),Raw_Data!D104)</f>
        <v>Southwest Region</v>
      </c>
      <c r="E104" s="3" t="str">
        <f ca="1">IFERROR(textbefore(Raw_Data!E104," / "),Raw_Data!E104)</f>
        <v>iPhone</v>
      </c>
      <c r="F104" s="3" t="str">
        <f ca="1">IFERROR(textbefore(Raw_Data!F104," / "),Raw_Data!F104)</f>
        <v>15-20</v>
      </c>
      <c r="G104" s="3" t="str">
        <f ca="1">IFERROR(textbefore(textbefore(Raw_Data!G104,";")," / "),IFERROR(textbefore(Raw_Data!G104," / "),Raw_Data!G104))</f>
        <v>Very often / TrÃ¨s souvent</v>
      </c>
      <c r="H104" s="3" t="str">
        <f ca="1">IFERROR(textbefore(Raw_Data!H104," / "),Raw_Data!H104)</f>
        <v>Social media / RÃ©seaux sociaux;Video streaming / VidÃ©o (YouTube, Netflix);Messaging / Messagerie (WhatsApp, etc.);Online classes/work / Cours ou travail en ligne;Browsing / Navigation</v>
      </c>
      <c r="I104" s="3" t="str">
        <f ca="1">IFERROR(textbefore(Raw_Data!I104," / "),Raw_Data!I104)</f>
        <v>Average / Moyenne</v>
      </c>
      <c r="J104" s="3">
        <f>Raw_Data!J104</f>
        <v>3</v>
      </c>
      <c r="K104" s="3" t="str">
        <f ca="1">IFERROR(textbefore(Raw_Data!K104," / "),Raw_Data!K104)</f>
        <v>Average / Moyenne</v>
      </c>
      <c r="L104" s="3" t="str">
        <f ca="1">IFERROR(textbefore(Raw_Data!L104," / "),Raw_Data!L104)</f>
        <v>Often / Souvent</v>
      </c>
      <c r="M104" s="3" t="str">
        <f ca="1">IFERROR(textbefore(Raw_Data!M104," / "),Raw_Data!M104)</f>
        <v>Slow internet / Internet lent</v>
      </c>
      <c r="N104" s="3" t="str">
        <f ca="1">IFERROR(textbefore(Raw_Data!N104," / "),Raw_Data!N104)</f>
        <v>Very often / TrÃ¨s souvent</v>
      </c>
      <c r="O104" s="3" t="str">
        <f ca="1">IFERROR(textbefore(Raw_Data!O104," / "),Raw_Data!O104)</f>
        <v>Evening / Soir</v>
      </c>
      <c r="P104" s="3" t="str">
        <f ca="1">IFERROR(textbefore(Raw_Data!P104," / "),Raw_Data!P104)</f>
        <v>Everywhere / Partout</v>
      </c>
      <c r="Q104" s="3" t="str">
        <f ca="1">IFERROR(textbefore(Raw_Data!Q104," / "),Raw_Data!Q104)</f>
        <v>Moderate / Moyen</v>
      </c>
      <c r="R104" s="3" t="str">
        <f ca="1">IFERROR(textbefore(Raw_Data!R104," / "),Raw_Data!R104)</f>
        <v>Severely / Beaucoup</v>
      </c>
      <c r="S104" s="3" t="str">
        <f ca="1">IFERROR(textbefore(Raw_Data!S104," / "),Raw_Data!S104)</f>
        <v>Yes / Oui</v>
      </c>
      <c r="T104" s="3" t="str">
        <f ca="1">IFERROR(textbefore(Raw_Data!T104," / "),Raw_Data!T104)</f>
        <v>Yes / Oui</v>
      </c>
      <c r="U104" s="3" t="str">
        <f ca="1">IFERROR(textbefore(Raw_Data!U104," / "),Raw_Data!U104)</f>
        <v>Once a day / Une fois par jour</v>
      </c>
      <c r="V104" s="3" t="str">
        <f ca="1">IFERROR(textbefore(Raw_Data!V104," / "),Raw_Data!V104)</f>
        <v>Yes / Oui</v>
      </c>
      <c r="W104" s="3" t="str">
        <f ca="1">IFERROR(textbefore(Raw_Data!W104," / "),Raw_Data!W104)</f>
        <v>Privacy / ConfidentialitÃ©;Data usage / Consommation de donnÃ©es;Security / SÃ©curitÃ©</v>
      </c>
    </row>
    <row r="105" spans="1:23" ht="24.75" customHeight="1" x14ac:dyDescent="0.35">
      <c r="A105" s="3" t="str">
        <f>Raw_Data!A105</f>
        <v>2026/04/24 5:01:21 PM GMT+1</v>
      </c>
      <c r="B105" s="3" t="str">
        <f>Raw_Data!B105</f>
        <v>yengahhappy@gmail.com</v>
      </c>
      <c r="C105" s="3" t="str">
        <f ca="1">IFERROR(textbefore(Raw_Data!C105," / "),Raw_Data!C105)</f>
        <v>MTN</v>
      </c>
      <c r="D105" s="3" t="str">
        <f ca="1">IFERROR(textbefore(Raw_Data!D105," / "),Raw_Data!D105)</f>
        <v>Southwest Region</v>
      </c>
      <c r="E105" s="3" t="str">
        <f ca="1">IFERROR(textbefore(Raw_Data!E105," / "),Raw_Data!E105)</f>
        <v>Android</v>
      </c>
      <c r="F105" s="3" t="str">
        <f ca="1">IFERROR(textbefore(Raw_Data!F105," / "),Raw_Data!F105)</f>
        <v>15-20</v>
      </c>
      <c r="G105" s="3" t="str">
        <f ca="1">IFERROR(textbefore(textbefore(Raw_Data!G105,";")," / "),IFERROR(textbefore(Raw_Data!G105," / "),Raw_Data!G105))</f>
        <v>Very often / TrÃ¨s souvent</v>
      </c>
      <c r="H105" s="3" t="str">
        <f ca="1">IFERROR(textbefore(Raw_Data!H105," / "),Raw_Data!H105)</f>
        <v>Social media / RÃ©seaux sociaux;Video streaming / VidÃ©o (YouTube, Netflix);Messaging / Messagerie (WhatsApp, etc.);Online classes/work / Cours ou travail en ligne;Browsing / Navigation;</v>
      </c>
      <c r="I105" s="3" t="str">
        <f ca="1">IFERROR(textbefore(Raw_Data!I105," / "),Raw_Data!I105)</f>
        <v>Average / Moyenne</v>
      </c>
      <c r="J105" s="3">
        <f>Raw_Data!J105</f>
        <v>2</v>
      </c>
      <c r="K105" s="3" t="str">
        <f ca="1">IFERROR(textbefore(Raw_Data!K105," / "),Raw_Data!K105)</f>
        <v>Poor / Instable</v>
      </c>
      <c r="L105" s="3" t="str">
        <f ca="1">IFERROR(textbefore(Raw_Data!L105," / "),Raw_Data!L105)</f>
        <v>Rarely / Rarement</v>
      </c>
      <c r="M105" s="3" t="str">
        <f ca="1">IFERROR(textbefore(Raw_Data!M105," / "),Raw_Data!M105)</f>
        <v>Network outages / Pannes rÃ©seau</v>
      </c>
      <c r="N105" s="3" t="str">
        <f ca="1">IFERROR(textbefore(Raw_Data!N105," / "),Raw_Data!N105)</f>
        <v>Sometimes / Parfois</v>
      </c>
      <c r="O105" s="3" t="str">
        <f ca="1">IFERROR(textbefore(Raw_Data!O105," / "),Raw_Data!O105)</f>
        <v>Afternoon / AprÃ¨s-midi</v>
      </c>
      <c r="P105" s="3" t="str">
        <f ca="1">IFERROR(textbefore(Raw_Data!P105," / "),Raw_Data!P105)</f>
        <v>Everywhere / Partout</v>
      </c>
      <c r="Q105" s="3" t="str">
        <f ca="1">IFERROR(textbefore(Raw_Data!Q105," / "),Raw_Data!Q105)</f>
        <v>Moderate / Moyen</v>
      </c>
      <c r="R105" s="3" t="str">
        <f ca="1">IFERROR(textbefore(Raw_Data!R105," / "),Raw_Data!R105)</f>
        <v>Severely / Beaucoup</v>
      </c>
      <c r="S105" s="3" t="str">
        <f ca="1">IFERROR(textbefore(Raw_Data!S105," / "),Raw_Data!S105)</f>
        <v>Yes / Oui</v>
      </c>
      <c r="T105" s="3" t="str">
        <f ca="1">IFERROR(textbefore(Raw_Data!T105," / "),Raw_Data!T105)</f>
        <v>Yes / Oui</v>
      </c>
      <c r="U105" s="3" t="str">
        <f ca="1">IFERROR(textbefore(Raw_Data!U105," / "),Raw_Data!U105)</f>
        <v>Only when there is a problem / Seulement en cas de problÃ¨me</v>
      </c>
      <c r="V105" s="3" t="str">
        <f ca="1">IFERROR(textbefore(Raw_Data!V105," / "),Raw_Data!V105)</f>
        <v>Yes / Oui</v>
      </c>
      <c r="W105" s="3" t="str">
        <f ca="1">IFERROR(textbefore(Raw_Data!W105," / "),Raw_Data!W105)</f>
        <v>Data usage / Consommation de donnÃ©es</v>
      </c>
    </row>
    <row r="106" spans="1:23" ht="24.75" customHeight="1" x14ac:dyDescent="0.35">
      <c r="A106" s="3" t="str">
        <f>Raw_Data!A106</f>
        <v>2026/04/24 5:45:02 PM GMT+1</v>
      </c>
      <c r="B106" s="3" t="str">
        <f>Raw_Data!B106</f>
        <v>teyimemelda22@gmail.com</v>
      </c>
      <c r="C106" s="3" t="str">
        <f ca="1">IFERROR(textbefore(Raw_Data!C106," / "),Raw_Data!C106)</f>
        <v>MTN</v>
      </c>
      <c r="D106" s="3" t="str">
        <f ca="1">IFERROR(textbefore(Raw_Data!D106," / "),Raw_Data!D106)</f>
        <v>West Region</v>
      </c>
      <c r="E106" s="3" t="str">
        <f ca="1">IFERROR(textbefore(Raw_Data!E106," / "),Raw_Data!E106)</f>
        <v>Android</v>
      </c>
      <c r="F106" s="3" t="str">
        <f ca="1">IFERROR(textbefore(Raw_Data!F106," / "),Raw_Data!F106)</f>
        <v>25 and above</v>
      </c>
      <c r="G106" s="3" t="str">
        <f ca="1">IFERROR(textbefore(textbefore(Raw_Data!G106,";")," / "),IFERROR(textbefore(Raw_Data!G106," / "),Raw_Data!G106))</f>
        <v>Very often / TrÃ¨s souvent</v>
      </c>
      <c r="H106" s="3" t="str">
        <f ca="1">IFERROR(textbefore(Raw_Data!H106," / "),Raw_Data!H106)</f>
        <v>Messaging / Messagerie (WhatsApp, etc.)</v>
      </c>
      <c r="I106" s="3" t="str">
        <f ca="1">IFERROR(textbefore(Raw_Data!I106," / "),Raw_Data!I106)</f>
        <v>Average / Moyenne</v>
      </c>
      <c r="J106" s="3">
        <f>Raw_Data!J106</f>
        <v>2</v>
      </c>
      <c r="K106" s="3" t="str">
        <f ca="1">IFERROR(textbefore(Raw_Data!K106," / "),Raw_Data!K106)</f>
        <v>Average / Moyenne</v>
      </c>
      <c r="L106" s="3" t="str">
        <f ca="1">IFERROR(textbefore(Raw_Data!L106," / "),Raw_Data!L106)</f>
        <v>Sometimes / Parfois</v>
      </c>
      <c r="M106" s="3" t="str">
        <f ca="1">IFERROR(textbefore(Raw_Data!M106," / "),Raw_Data!M106)</f>
        <v>Network outages / Pannes rÃ©seau</v>
      </c>
      <c r="N106" s="3" t="str">
        <f ca="1">IFERROR(textbefore(Raw_Data!N106," / "),Raw_Data!N106)</f>
        <v>Sometimes / Parfois</v>
      </c>
      <c r="O106" s="3" t="str">
        <f ca="1">IFERROR(textbefore(Raw_Data!O106," / "),Raw_Data!O106)</f>
        <v>Afternoon / AprÃ¨s-midi</v>
      </c>
      <c r="P106" s="3" t="str">
        <f ca="1">IFERROR(textbefore(Raw_Data!P106," / "),Raw_Data!P106)</f>
        <v>Everywhere / Partout</v>
      </c>
      <c r="Q106" s="3" t="str">
        <f ca="1">IFERROR(textbefore(Raw_Data!Q106," / "),Raw_Data!Q106)</f>
        <v>Moderate / Moyen</v>
      </c>
      <c r="R106" s="3" t="str">
        <f ca="1">IFERROR(textbefore(Raw_Data!R106," / "),Raw_Data!R106)</f>
        <v>Moderately / Moyennement</v>
      </c>
      <c r="S106" s="3" t="str">
        <f ca="1">IFERROR(textbefore(Raw_Data!S106," / "),Raw_Data!S106)</f>
        <v>No / Non</v>
      </c>
      <c r="T106" s="3" t="str">
        <f ca="1">IFERROR(textbefore(Raw_Data!T106," / "),Raw_Data!T106)</f>
        <v>No / Non</v>
      </c>
      <c r="U106" s="3" t="str">
        <f ca="1">IFERROR(textbefore(Raw_Data!U106," / "),Raw_Data!U106)</f>
        <v>Only when there is a problem / Seulement en cas de problÃ¨me</v>
      </c>
      <c r="V106" s="3" t="str">
        <f ca="1">IFERROR(textbefore(Raw_Data!V106," / "),Raw_Data!V106)</f>
        <v>Yes / Oui</v>
      </c>
      <c r="W106" s="3" t="str">
        <f ca="1">IFERROR(textbefore(Raw_Data!W106," / "),Raw_Data!W106)</f>
        <v>Data usage / Consommation de donnÃ©es</v>
      </c>
    </row>
    <row r="107" spans="1:23" ht="24.75" customHeight="1" x14ac:dyDescent="0.35">
      <c r="A107" s="3" t="str">
        <f>Raw_Data!A107</f>
        <v>2026/04/24 7:26:04 PM GMT+1</v>
      </c>
      <c r="B107" s="3" t="str">
        <f>Raw_Data!B107</f>
        <v>wantedromero205@gmail.com</v>
      </c>
      <c r="C107" s="3" t="str">
        <f ca="1">IFERROR(textbefore(Raw_Data!C107," / "),Raw_Data!C107)</f>
        <v>MTN</v>
      </c>
      <c r="D107" s="3" t="str">
        <f ca="1">IFERROR(textbefore(Raw_Data!D107," / "),Raw_Data!D107)</f>
        <v>Southwest Region</v>
      </c>
      <c r="E107" s="3" t="str">
        <f ca="1">IFERROR(textbefore(Raw_Data!E107," / "),Raw_Data!E107)</f>
        <v>Android</v>
      </c>
      <c r="F107" s="3" t="str">
        <f ca="1">IFERROR(textbefore(Raw_Data!F107," / "),Raw_Data!F107)</f>
        <v>15-20</v>
      </c>
      <c r="G107" s="3" t="str">
        <f ca="1">IFERROR(textbefore(textbefore(Raw_Data!G107,";")," / "),IFERROR(textbefore(Raw_Data!G107," / "),Raw_Data!G107))</f>
        <v>Occasionally / Occasionnellement</v>
      </c>
      <c r="H107" s="3" t="str">
        <f ca="1">IFERROR(textbefore(Raw_Data!H107," / "),Raw_Data!H107)</f>
        <v>Studies</v>
      </c>
      <c r="I107" s="3" t="str">
        <f ca="1">IFERROR(textbefore(Raw_Data!I107," / "),Raw_Data!I107)</f>
        <v>Average / Moyenne</v>
      </c>
      <c r="J107" s="3">
        <f>Raw_Data!J107</f>
        <v>3</v>
      </c>
      <c r="K107" s="3" t="str">
        <f ca="1">IFERROR(textbefore(Raw_Data!K107," / "),Raw_Data!K107)</f>
        <v>Average / Moyenne</v>
      </c>
      <c r="L107" s="3" t="str">
        <f ca="1">IFERROR(textbefore(Raw_Data!L107," / "),Raw_Data!L107)</f>
        <v>Sometimes / Parfois</v>
      </c>
      <c r="M107" s="3" t="str">
        <f ca="1">IFERROR(textbefore(Raw_Data!M107," / "),Raw_Data!M107)</f>
        <v>Network outages / Pannes rÃ©seau</v>
      </c>
      <c r="N107" s="3" t="str">
        <f ca="1">IFERROR(textbefore(Raw_Data!N107," / "),Raw_Data!N107)</f>
        <v>Sometimes / Parfois</v>
      </c>
      <c r="O107" s="3" t="str">
        <f ca="1">IFERROR(textbefore(Raw_Data!O107," / "),Raw_Data!O107)</f>
        <v>Afternoon / AprÃ¨s-midi</v>
      </c>
      <c r="P107" s="3" t="str">
        <f ca="1">IFERROR(textbefore(Raw_Data!P107," / "),Raw_Data!P107)</f>
        <v>Everywhere / Partout</v>
      </c>
      <c r="Q107" s="3" t="str">
        <f ca="1">IFERROR(textbefore(Raw_Data!Q107," / "),Raw_Data!Q107)</f>
        <v>Moderate / Moyen</v>
      </c>
      <c r="R107" s="3" t="str">
        <f ca="1">IFERROR(textbefore(Raw_Data!R107," / "),Raw_Data!R107)</f>
        <v>Slightly / Un peu</v>
      </c>
      <c r="S107" s="3" t="str">
        <f ca="1">IFERROR(textbefore(Raw_Data!S107," / "),Raw_Data!S107)</f>
        <v>Yes / Oui</v>
      </c>
      <c r="T107" s="3" t="str">
        <f ca="1">IFERROR(textbefore(Raw_Data!T107," / "),Raw_Data!T107)</f>
        <v>No / Non</v>
      </c>
      <c r="U107" s="3" t="str">
        <f ca="1">IFERROR(textbefore(Raw_Data!U107," / "),Raw_Data!U107)</f>
        <v>Only when there is a problem / Seulement en cas de problÃ¨me</v>
      </c>
      <c r="V107" s="3" t="str">
        <f ca="1">IFERROR(textbefore(Raw_Data!V107," / "),Raw_Data!V107)</f>
        <v>No / Non</v>
      </c>
      <c r="W107" s="3" t="str">
        <f ca="1">IFERROR(textbefore(Raw_Data!W107," / "),Raw_Data!W107)</f>
        <v>None / Aucune</v>
      </c>
    </row>
    <row r="108" spans="1:23" ht="24.75" customHeight="1" x14ac:dyDescent="0.35">
      <c r="A108" s="3" t="str">
        <f>Raw_Data!A108</f>
        <v>2026/04/24 7:57:23 PM GMT+1</v>
      </c>
      <c r="B108" s="3" t="str">
        <f>Raw_Data!B108</f>
        <v>brycebigo@gmail.com</v>
      </c>
      <c r="C108" s="3" t="str">
        <f ca="1">IFERROR(textbefore(Raw_Data!C108," / "),Raw_Data!C108)</f>
        <v>MTN</v>
      </c>
      <c r="D108" s="3" t="str">
        <f ca="1">IFERROR(textbefore(Raw_Data!D108," / "),Raw_Data!D108)</f>
        <v>Southwest Region</v>
      </c>
      <c r="E108" s="3" t="str">
        <f ca="1">IFERROR(textbefore(Raw_Data!E108," / "),Raw_Data!E108)</f>
        <v>Android</v>
      </c>
      <c r="F108" s="3" t="str">
        <f ca="1">IFERROR(textbefore(Raw_Data!F108," / "),Raw_Data!F108)</f>
        <v>15-20</v>
      </c>
      <c r="G108" s="3" t="str">
        <f ca="1">IFERROR(textbefore(textbefore(Raw_Data!G108,";")," / "),IFERROR(textbefore(Raw_Data!G108," / "),Raw_Data!G108))</f>
        <v>Very often / TrÃ¨s souvent</v>
      </c>
      <c r="H108" s="3" t="str">
        <f ca="1">IFERROR(textbefore(Raw_Data!H108," / "),Raw_Data!H108)</f>
        <v>Social media / RÃ©seaux sociaux;Gaming / Jeux</v>
      </c>
      <c r="I108" s="3" t="str">
        <f ca="1">IFERROR(textbefore(Raw_Data!I108," / "),Raw_Data!I108)</f>
        <v>Very Poor / TrÃ¨s mauvaise</v>
      </c>
      <c r="J108" s="3">
        <f>Raw_Data!J108</f>
        <v>1</v>
      </c>
      <c r="K108" s="3" t="str">
        <f ca="1">IFERROR(textbefore(Raw_Data!K108," / "),Raw_Data!K108)</f>
        <v>Very Poor / TrÃ¨s instable</v>
      </c>
      <c r="L108" s="3" t="str">
        <f ca="1">IFERROR(textbefore(Raw_Data!L108," / "),Raw_Data!L108)</f>
        <v>Always / Toujours</v>
      </c>
      <c r="M108" s="3" t="str">
        <f ca="1">IFERROR(textbefore(Raw_Data!M108," / "),Raw_Data!M108)</f>
        <v>Slow internet / Internet lent;No signal / Pas de rÃ©seau;Network outages / Pannes rÃ©seau</v>
      </c>
      <c r="N108" s="3" t="str">
        <f ca="1">IFERROR(textbefore(Raw_Data!N108," / "),Raw_Data!N108)</f>
        <v>Very often / TrÃ¨s souvent</v>
      </c>
      <c r="O108" s="3" t="str">
        <f ca="1">IFERROR(textbefore(Raw_Data!O108," / "),Raw_Data!O108)</f>
        <v>Afternoon / AprÃ¨s-midi</v>
      </c>
      <c r="P108" s="3" t="str">
        <f ca="1">IFERROR(textbefore(Raw_Data!P108," / "),Raw_Data!P108)</f>
        <v>School/Work / Ã‰cole/Travail;Everywhere / Partout</v>
      </c>
      <c r="Q108" s="3" t="str">
        <f ca="1">IFERROR(textbefore(Raw_Data!Q108," / "),Raw_Data!Q108)</f>
        <v>Weak / Faible</v>
      </c>
      <c r="R108" s="3" t="str">
        <f ca="1">IFERROR(textbefore(Raw_Data!R108," / "),Raw_Data!R108)</f>
        <v>Moderately / Moyennement</v>
      </c>
      <c r="S108" s="3" t="str">
        <f ca="1">IFERROR(textbefore(Raw_Data!S108," / "),Raw_Data!S108)</f>
        <v>Yes / Oui</v>
      </c>
      <c r="T108" s="3" t="str">
        <f ca="1">IFERROR(textbefore(Raw_Data!T108," / "),Raw_Data!T108)</f>
        <v>Yes / Oui</v>
      </c>
      <c r="U108" s="3" t="str">
        <f ca="1">IFERROR(textbefore(Raw_Data!U108," / "),Raw_Data!U108)</f>
        <v>Only when there is a problem / Seulement en cas de problÃ¨me</v>
      </c>
      <c r="V108" s="3" t="str">
        <f ca="1">IFERROR(textbefore(Raw_Data!V108," / "),Raw_Data!V108)</f>
        <v>Yes / Oui</v>
      </c>
      <c r="W108" s="3" t="str">
        <f ca="1">IFERROR(textbefore(Raw_Data!W108," / "),Raw_Data!W108)</f>
        <v>Privacy / ConfidentialitÃ©;Battery usage / Batterie;Data usage / Consommation de donnÃ©es</v>
      </c>
    </row>
    <row r="109" spans="1:23" ht="24.75" customHeight="1" x14ac:dyDescent="0.35">
      <c r="A109" s="3" t="str">
        <f>Raw_Data!A109</f>
        <v>2026/04/24 8:19:35 PM GMT+1</v>
      </c>
      <c r="B109" s="3" t="str">
        <f>Raw_Data!B109</f>
        <v>egbefrancis99@gmail.com</v>
      </c>
      <c r="C109" s="3" t="str">
        <f ca="1">IFERROR(textbefore(Raw_Data!C109," / "),Raw_Data!C109)</f>
        <v>Orange</v>
      </c>
      <c r="D109" s="3" t="str">
        <f ca="1">IFERROR(textbefore(Raw_Data!D109," / "),Raw_Data!D109)</f>
        <v>Littoral Region</v>
      </c>
      <c r="E109" s="3" t="str">
        <f ca="1">IFERROR(textbefore(Raw_Data!E109," / "),Raw_Data!E109)</f>
        <v>Android</v>
      </c>
      <c r="F109" s="3" t="str">
        <f ca="1">IFERROR(textbefore(Raw_Data!F109," / "),Raw_Data!F109)</f>
        <v>25 and above</v>
      </c>
      <c r="G109" s="3" t="str">
        <f ca="1">IFERROR(textbefore(textbefore(Raw_Data!G109,";")," / "),IFERROR(textbefore(Raw_Data!G109," / "),Raw_Data!G109))</f>
        <v>Very often / TrÃ¨s souvent</v>
      </c>
      <c r="H109" s="3" t="str">
        <f ca="1">IFERROR(textbefore(Raw_Data!H109," / "),Raw_Data!H109)</f>
        <v>Social media / RÃ©seaux sociaux;Video streaming / VidÃ©o (YouTube, Netflix);Online classes/work / Cours ou travail en ligne;Gaming / Jeux;Browsing / Navigation;</v>
      </c>
      <c r="I109" s="3" t="str">
        <f ca="1">IFERROR(textbefore(Raw_Data!I109," / "),Raw_Data!I109)</f>
        <v>Average / Moyenne;Good / Bonne;Excellent</v>
      </c>
      <c r="J109" s="3">
        <f>Raw_Data!J109</f>
        <v>4</v>
      </c>
      <c r="K109" s="3" t="str">
        <f ca="1">IFERROR(textbefore(Raw_Data!K109," / "),Raw_Data!K109)</f>
        <v>Very Poor / TrÃ¨s instable</v>
      </c>
      <c r="L109" s="3" t="str">
        <f ca="1">IFERROR(textbefore(Raw_Data!L109," / "),Raw_Data!L109)</f>
        <v>Sometimes / Parfois</v>
      </c>
      <c r="M109" s="3" t="str">
        <f ca="1">IFERROR(textbefore(Raw_Data!M109," / "),Raw_Data!M109)</f>
        <v>Poor call quality / Mauvaise qualitÃ© dâ€™appel</v>
      </c>
      <c r="N109" s="3" t="str">
        <f ca="1">IFERROR(textbefore(Raw_Data!N109," / "),Raw_Data!N109)</f>
        <v>Often / Souvent</v>
      </c>
      <c r="O109" s="3" t="str">
        <f ca="1">IFERROR(textbefore(Raw_Data!O109," / "),Raw_Data!O109)</f>
        <v>Afternoon / AprÃ¨s-midi</v>
      </c>
      <c r="P109" s="3" t="str">
        <f ca="1">IFERROR(textbefore(Raw_Data!P109," / "),Raw_Data!P109)</f>
        <v>On the road / En dÃ©placement</v>
      </c>
      <c r="Q109" s="3" t="str">
        <f ca="1">IFERROR(textbefore(Raw_Data!Q109," / "),Raw_Data!Q109)</f>
        <v>Weak / Faible</v>
      </c>
      <c r="R109" s="3" t="str">
        <f ca="1">IFERROR(textbefore(Raw_Data!R109," / "),Raw_Data!R109)</f>
        <v>Slightly / Un peu</v>
      </c>
      <c r="S109" s="3" t="str">
        <f ca="1">IFERROR(textbefore(Raw_Data!S109," / "),Raw_Data!S109)</f>
        <v>No / Non</v>
      </c>
      <c r="T109" s="3" t="str">
        <f ca="1">IFERROR(textbefore(Raw_Data!T109," / "),Raw_Data!T109)</f>
        <v>Yes / Oui</v>
      </c>
      <c r="U109" s="3" t="str">
        <f ca="1">IFERROR(textbefore(Raw_Data!U109," / "),Raw_Data!U109)</f>
        <v>Only when there is a problem / Seulement en cas de problÃ¨me</v>
      </c>
      <c r="V109" s="3" t="str">
        <f ca="1">IFERROR(textbefore(Raw_Data!V109," / "),Raw_Data!V109)</f>
        <v>No / Non</v>
      </c>
      <c r="W109" s="3" t="str">
        <f ca="1">IFERROR(textbefore(Raw_Data!W109," / "),Raw_Data!W109)</f>
        <v>Security / SÃ©curitÃ©</v>
      </c>
    </row>
    <row r="110" spans="1:23" ht="24.75" customHeight="1" x14ac:dyDescent="0.35">
      <c r="A110" s="3" t="str">
        <f>Raw_Data!A110</f>
        <v>2026/04/24 9:07:59 PM GMT+1</v>
      </c>
      <c r="B110" s="3" t="str">
        <f>Raw_Data!B110</f>
        <v>chemedward92@gmail.com</v>
      </c>
      <c r="C110" s="3" t="str">
        <f ca="1">IFERROR(textbefore(Raw_Data!C110," / "),Raw_Data!C110)</f>
        <v>MTN</v>
      </c>
      <c r="D110" s="3" t="str">
        <f ca="1">IFERROR(textbefore(Raw_Data!D110," / "),Raw_Data!D110)</f>
        <v>West Region</v>
      </c>
      <c r="E110" s="3" t="str">
        <f ca="1">IFERROR(textbefore(Raw_Data!E110," / "),Raw_Data!E110)</f>
        <v>Android</v>
      </c>
      <c r="F110" s="3" t="str">
        <f ca="1">IFERROR(textbefore(Raw_Data!F110," / "),Raw_Data!F110)</f>
        <v>25 and above</v>
      </c>
      <c r="G110" s="3" t="str">
        <f ca="1">IFERROR(textbefore(textbefore(Raw_Data!G110,";")," / "),IFERROR(textbefore(Raw_Data!G110," / "),Raw_Data!G110))</f>
        <v>Very often / TrÃ¨s souvent</v>
      </c>
      <c r="H110" s="3" t="str">
        <f ca="1">IFERROR(textbefore(Raw_Data!H110," / "),Raw_Data!H110)</f>
        <v>Social media / RÃ©seaux sociaux</v>
      </c>
      <c r="I110" s="3" t="str">
        <f ca="1">IFERROR(textbefore(Raw_Data!I110," / "),Raw_Data!I110)</f>
        <v>Average / Moyenne</v>
      </c>
      <c r="J110" s="3">
        <f>Raw_Data!J110</f>
        <v>3</v>
      </c>
      <c r="K110" s="3" t="str">
        <f ca="1">IFERROR(textbefore(Raw_Data!K110," / "),Raw_Data!K110)</f>
        <v>Average / Moyenne</v>
      </c>
      <c r="L110" s="3" t="str">
        <f ca="1">IFERROR(textbefore(Raw_Data!L110," / "),Raw_Data!L110)</f>
        <v>Sometimes / Parfois</v>
      </c>
      <c r="M110" s="3" t="str">
        <f ca="1">IFERROR(textbefore(Raw_Data!M110," / "),Raw_Data!M110)</f>
        <v>Slow internet / Internet lent</v>
      </c>
      <c r="N110" s="3" t="str">
        <f ca="1">IFERROR(textbefore(Raw_Data!N110," / "),Raw_Data!N110)</f>
        <v>Sometimes / Parfois</v>
      </c>
      <c r="O110" s="3" t="str">
        <f ca="1">IFERROR(textbefore(Raw_Data!O110," / "),Raw_Data!O110)</f>
        <v>Afternoon / AprÃ¨s-midi</v>
      </c>
      <c r="P110" s="3" t="str">
        <f ca="1">IFERROR(textbefore(Raw_Data!P110," / "),Raw_Data!P110)</f>
        <v>School/Work / Ã‰cole/Travail</v>
      </c>
      <c r="Q110" s="3" t="str">
        <f ca="1">IFERROR(textbefore(Raw_Data!Q110," / "),Raw_Data!Q110)</f>
        <v>Moderate / Moyen</v>
      </c>
      <c r="R110" s="3" t="str">
        <f ca="1">IFERROR(textbefore(Raw_Data!R110," / "),Raw_Data!R110)</f>
        <v>Severely / Beaucoup</v>
      </c>
      <c r="S110" s="3" t="str">
        <f ca="1">IFERROR(textbefore(Raw_Data!S110," / "),Raw_Data!S110)</f>
        <v>Yes / Oui</v>
      </c>
      <c r="T110" s="3" t="str">
        <f ca="1">IFERROR(textbefore(Raw_Data!T110," / "),Raw_Data!T110)</f>
        <v>Yes / Oui</v>
      </c>
      <c r="U110" s="3" t="str">
        <f ca="1">IFERROR(textbefore(Raw_Data!U110," / "),Raw_Data!U110)</f>
        <v>Every time / Ã€ chaque fois</v>
      </c>
      <c r="V110" s="3" t="str">
        <f ca="1">IFERROR(textbefore(Raw_Data!V110," / "),Raw_Data!V110)</f>
        <v>No / Non</v>
      </c>
      <c r="W110" s="3" t="str">
        <f ca="1">IFERROR(textbefore(Raw_Data!W110," / "),Raw_Data!W110)</f>
        <v>Privacy / ConfidentialitÃ©</v>
      </c>
    </row>
    <row r="111" spans="1:23" ht="24.75" customHeight="1" x14ac:dyDescent="0.35">
      <c r="A111" s="3" t="str">
        <f>Raw_Data!A111</f>
        <v>2026/04/24 11:15:37 PM GMT+1</v>
      </c>
      <c r="B111" s="3" t="str">
        <f>Raw_Data!B111</f>
        <v>ndiulaeldenzelndangulae@gmail.com</v>
      </c>
      <c r="C111" s="3" t="str">
        <f ca="1">IFERROR(textbefore(Raw_Data!C111," / "),Raw_Data!C111)</f>
        <v>MTN</v>
      </c>
      <c r="D111" s="3" t="str">
        <f ca="1">IFERROR(textbefore(Raw_Data!D111," / "),Raw_Data!D111)</f>
        <v>North West Region</v>
      </c>
      <c r="E111" s="3" t="str">
        <f ca="1">IFERROR(textbefore(Raw_Data!E111," / "),Raw_Data!E111)</f>
        <v>iPhone</v>
      </c>
      <c r="F111" s="3" t="str">
        <f ca="1">IFERROR(textbefore(Raw_Data!F111," / "),Raw_Data!F111)</f>
        <v>15-20</v>
      </c>
      <c r="G111" s="3" t="str">
        <f ca="1">IFERROR(textbefore(textbefore(Raw_Data!G111,";")," / "),IFERROR(textbefore(Raw_Data!G111," / "),Raw_Data!G111))</f>
        <v>Very often / TrÃ¨s souvent</v>
      </c>
      <c r="H111" s="3" t="str">
        <f ca="1">IFERROR(textbefore(Raw_Data!H111," / "),Raw_Data!H111)</f>
        <v>Social media / RÃ©seaux sociaux;Messaging / Messagerie (WhatsApp, etc.);Online classes/work / Cours ou travail en ligne;Gaming / Jeux;Browsing / Navigation</v>
      </c>
      <c r="I111" s="3" t="str">
        <f ca="1">IFERROR(textbefore(Raw_Data!I111," / "),Raw_Data!I111)</f>
        <v>Poor / Mauvaise</v>
      </c>
      <c r="J111" s="3">
        <f>Raw_Data!J111</f>
        <v>2</v>
      </c>
      <c r="K111" s="3" t="str">
        <f ca="1">IFERROR(textbefore(Raw_Data!K111," / "),Raw_Data!K111)</f>
        <v>Poor / Instable</v>
      </c>
      <c r="L111" s="3" t="str">
        <f ca="1">IFERROR(textbefore(Raw_Data!L111," / "),Raw_Data!L111)</f>
        <v>Often / Souvent</v>
      </c>
      <c r="M111" s="3" t="str">
        <f ca="1">IFERROR(textbefore(Raw_Data!M111," / "),Raw_Data!M111)</f>
        <v>Slow internet / Internet lent;Call drops / Coupures d'appel;No signal / Pas de rÃ©seau;Poor call quality / Mauvaise qualitÃ© dâ€™appel;Network outages / Pannes rÃ©seau</v>
      </c>
      <c r="N111" s="3" t="str">
        <f ca="1">IFERROR(textbefore(Raw_Data!N111," / "),Raw_Data!N111)</f>
        <v>Often / Souvent</v>
      </c>
      <c r="O111" s="3" t="str">
        <f ca="1">IFERROR(textbefore(Raw_Data!O111," / "),Raw_Data!O111)</f>
        <v>Afternoon / AprÃ¨s-midi</v>
      </c>
      <c r="P111" s="3" t="str">
        <f ca="1">IFERROR(textbefore(Raw_Data!P111," / "),Raw_Data!P111)</f>
        <v>Everywhere / Partout</v>
      </c>
      <c r="Q111" s="3" t="str">
        <f ca="1">IFERROR(textbefore(Raw_Data!Q111," / "),Raw_Data!Q111)</f>
        <v>Weak / Faible</v>
      </c>
      <c r="R111" s="3" t="str">
        <f ca="1">IFERROR(textbefore(Raw_Data!R111," / "),Raw_Data!R111)</f>
        <v>Slightly / Un peu</v>
      </c>
      <c r="S111" s="3" t="str">
        <f ca="1">IFERROR(textbefore(Raw_Data!S111," / "),Raw_Data!S111)</f>
        <v>No / Non</v>
      </c>
      <c r="T111" s="3" t="str">
        <f ca="1">IFERROR(textbefore(Raw_Data!T111," / "),Raw_Data!T111)</f>
        <v>Yes / Oui</v>
      </c>
      <c r="U111" s="3" t="str">
        <f ca="1">IFERROR(textbefore(Raw_Data!U111," / "),Raw_Data!U111)</f>
        <v>Once a day / Une fois par jour</v>
      </c>
      <c r="V111" s="3" t="str">
        <f ca="1">IFERROR(textbefore(Raw_Data!V111," / "),Raw_Data!V111)</f>
        <v>Yes / Oui</v>
      </c>
      <c r="W111" s="3" t="str">
        <f ca="1">IFERROR(textbefore(Raw_Data!W111," / "),Raw_Data!W111)</f>
        <v>Battery usage / Batterie;Data usage / Consommation de donnÃ©es</v>
      </c>
    </row>
    <row r="112" spans="1:23" ht="24.75" customHeight="1" x14ac:dyDescent="0.35">
      <c r="A112" s="3" t="str">
        <f>Raw_Data!A112</f>
        <v>2026/04/25 2:03:12 AM GMT+1</v>
      </c>
      <c r="B112" s="3" t="str">
        <f>Raw_Data!B112</f>
        <v>tambeenowtabiprincely@gmail.com</v>
      </c>
      <c r="C112" s="3" t="str">
        <f ca="1">IFERROR(textbefore(Raw_Data!C112," / "),Raw_Data!C112)</f>
        <v>MTN</v>
      </c>
      <c r="D112" s="3" t="str">
        <f ca="1">IFERROR(textbefore(Raw_Data!D112," / "),Raw_Data!D112)</f>
        <v>Southwest Region</v>
      </c>
      <c r="E112" s="3" t="str">
        <f ca="1">IFERROR(textbefore(Raw_Data!E112," / "),Raw_Data!E112)</f>
        <v>Android</v>
      </c>
      <c r="F112" s="3" t="str">
        <f ca="1">IFERROR(textbefore(Raw_Data!F112," / "),Raw_Data!F112)</f>
        <v>20-25</v>
      </c>
      <c r="G112" s="3" t="str">
        <f ca="1">IFERROR(textbefore(textbefore(Raw_Data!G112,";")," / "),IFERROR(textbefore(Raw_Data!G112," / "),Raw_Data!G112))</f>
        <v>Very often / TrÃ¨s souvent</v>
      </c>
      <c r="H112" s="3" t="str">
        <f ca="1">IFERROR(textbefore(Raw_Data!H112," / "),Raw_Data!H112)</f>
        <v>Social media / RÃ©seaux sociaux;Messaging / Messagerie (WhatsApp, etc.);Online classes/work / Cours ou travail en ligne</v>
      </c>
      <c r="I112" s="3" t="str">
        <f ca="1">IFERROR(textbefore(Raw_Data!I112," / "),Raw_Data!I112)</f>
        <v>Poor / Mauvaise</v>
      </c>
      <c r="J112" s="3">
        <f>Raw_Data!J112</f>
        <v>2</v>
      </c>
      <c r="K112" s="3" t="str">
        <f ca="1">IFERROR(textbefore(Raw_Data!K112," / "),Raw_Data!K112)</f>
        <v>Poor / Instable</v>
      </c>
      <c r="L112" s="3" t="str">
        <f ca="1">IFERROR(textbefore(Raw_Data!L112," / "),Raw_Data!L112)</f>
        <v>Sometimes / Parfois</v>
      </c>
      <c r="M112" s="3" t="str">
        <f ca="1">IFERROR(textbefore(Raw_Data!M112," / "),Raw_Data!M112)</f>
        <v>Slow internet / Internet lent;Network outages / Pannes rÃ©seau</v>
      </c>
      <c r="N112" s="3" t="str">
        <f ca="1">IFERROR(textbefore(Raw_Data!N112," / "),Raw_Data!N112)</f>
        <v>Often / Souvent</v>
      </c>
      <c r="O112" s="3" t="str">
        <f ca="1">IFERROR(textbefore(Raw_Data!O112," / "),Raw_Data!O112)</f>
        <v>Evening / Soir</v>
      </c>
      <c r="P112" s="3" t="str">
        <f ca="1">IFERROR(textbefore(Raw_Data!P112," / "),Raw_Data!P112)</f>
        <v>School/Work / Ã‰cole/Travail</v>
      </c>
      <c r="Q112" s="3" t="str">
        <f ca="1">IFERROR(textbefore(Raw_Data!Q112," / "),Raw_Data!Q112)</f>
        <v>Moderate / Moyen</v>
      </c>
      <c r="R112" s="3" t="str">
        <f ca="1">IFERROR(textbefore(Raw_Data!R112," / "),Raw_Data!R112)</f>
        <v>Moderately / Moyennement</v>
      </c>
      <c r="S112" s="3" t="str">
        <f ca="1">IFERROR(textbefore(Raw_Data!S112," / "),Raw_Data!S112)</f>
        <v>Yes / Oui</v>
      </c>
      <c r="T112" s="3" t="str">
        <f ca="1">IFERROR(textbefore(Raw_Data!T112," / "),Raw_Data!T112)</f>
        <v>Yes / Oui</v>
      </c>
      <c r="U112" s="3" t="str">
        <f ca="1">IFERROR(textbefore(Raw_Data!U112," / "),Raw_Data!U112)</f>
        <v>Once a day / Une fois par jour</v>
      </c>
      <c r="V112" s="3" t="str">
        <f ca="1">IFERROR(textbefore(Raw_Data!V112," / "),Raw_Data!V112)</f>
        <v>Yes / Oui</v>
      </c>
      <c r="W112" s="3" t="str">
        <f ca="1">IFERROR(textbefore(Raw_Data!W112," / "),Raw_Data!W112)</f>
        <v>Privacy / ConfidentialitÃ©;Battery usage / Batterie;Data usage / Consommation de donnÃ©es;Security / SÃ©curitÃ©</v>
      </c>
    </row>
    <row r="113" spans="1:23" ht="24.75" customHeight="1" x14ac:dyDescent="0.35">
      <c r="A113" s="3" t="str">
        <f>Raw_Data!A113</f>
        <v>2026/04/25 7:43:21 AM GMT+1</v>
      </c>
      <c r="B113" s="3" t="str">
        <f>Raw_Data!B113</f>
        <v>syntychenolah@gmail.com</v>
      </c>
      <c r="C113" s="3" t="str">
        <f ca="1">IFERROR(textbefore(Raw_Data!C113," / "),Raw_Data!C113)</f>
        <v>MTN</v>
      </c>
      <c r="D113" s="3" t="str">
        <f ca="1">IFERROR(textbefore(Raw_Data!D113," / "),Raw_Data!D113)</f>
        <v>West Region</v>
      </c>
      <c r="E113" s="3" t="str">
        <f ca="1">IFERROR(textbefore(Raw_Data!E113," / "),Raw_Data!E113)</f>
        <v>Android</v>
      </c>
      <c r="F113" s="3" t="str">
        <f ca="1">IFERROR(textbefore(Raw_Data!F113," / "),Raw_Data!F113)</f>
        <v>20-25</v>
      </c>
      <c r="G113" s="3" t="str">
        <f ca="1">IFERROR(textbefore(textbefore(Raw_Data!G113,";")," / "),IFERROR(textbefore(Raw_Data!G113," / "),Raw_Data!G113))</f>
        <v>Very often / TrÃ¨s souvent</v>
      </c>
      <c r="H113" s="3" t="str">
        <f ca="1">IFERROR(textbefore(Raw_Data!H113," / "),Raw_Data!H113)</f>
        <v>Social media / RÃ©seaux sociaux;</v>
      </c>
      <c r="I113" s="3" t="str">
        <f ca="1">IFERROR(textbefore(Raw_Data!I113," / "),Raw_Data!I113)</f>
        <v>Very Poor / TrÃ¨s mauvaise</v>
      </c>
      <c r="J113" s="3">
        <f>Raw_Data!J113</f>
        <v>2</v>
      </c>
      <c r="K113" s="3" t="str">
        <f ca="1">IFERROR(textbefore(Raw_Data!K113," / "),Raw_Data!K113)</f>
        <v>Average / Moyenne</v>
      </c>
      <c r="L113" s="3" t="str">
        <f ca="1">IFERROR(textbefore(Raw_Data!L113," / "),Raw_Data!L113)</f>
        <v>Often / Souvent</v>
      </c>
      <c r="M113" s="3" t="str">
        <f ca="1">IFERROR(textbefore(Raw_Data!M113," / "),Raw_Data!M113)</f>
        <v>Network outages / Pannes rÃ©seau</v>
      </c>
      <c r="N113" s="3" t="str">
        <f ca="1">IFERROR(textbefore(Raw_Data!N113," / "),Raw_Data!N113)</f>
        <v>Sometimes / Parfois</v>
      </c>
      <c r="O113" s="3" t="str">
        <f ca="1">IFERROR(textbefore(Raw_Data!O113," / "),Raw_Data!O113)</f>
        <v>Evening / Soir</v>
      </c>
      <c r="P113" s="3" t="str">
        <f ca="1">IFERROR(textbefore(Raw_Data!P113," / "),Raw_Data!P113)</f>
        <v>Everywhere / Partout</v>
      </c>
      <c r="Q113" s="3" t="str">
        <f ca="1">IFERROR(textbefore(Raw_Data!Q113," / "),Raw_Data!Q113)</f>
        <v>Moderate / Moyen</v>
      </c>
      <c r="R113" s="3" t="str">
        <f ca="1">IFERROR(textbefore(Raw_Data!R113," / "),Raw_Data!R113)</f>
        <v>Slightly / Un peu</v>
      </c>
      <c r="S113" s="3" t="str">
        <f ca="1">IFERROR(textbefore(Raw_Data!S113," / "),Raw_Data!S113)</f>
        <v>Yes / Oui</v>
      </c>
      <c r="T113" s="3" t="str">
        <f ca="1">IFERROR(textbefore(Raw_Data!T113," / "),Raw_Data!T113)</f>
        <v>No / Non</v>
      </c>
      <c r="U113" s="3" t="str">
        <f ca="1">IFERROR(textbefore(Raw_Data!U113," / "),Raw_Data!U113)</f>
        <v>Every time / Ã€ chaque fois</v>
      </c>
      <c r="V113" s="3" t="str">
        <f ca="1">IFERROR(textbefore(Raw_Data!V113," / "),Raw_Data!V113)</f>
        <v>No / Non</v>
      </c>
      <c r="W113" s="3" t="str">
        <f ca="1">IFERROR(textbefore(Raw_Data!W113," / "),Raw_Data!W113)</f>
        <v>Security / SÃ©curitÃ©</v>
      </c>
    </row>
    <row r="114" spans="1:23" ht="24.75" customHeight="1" x14ac:dyDescent="0.35">
      <c r="A114" s="3" t="str">
        <f>Raw_Data!A114</f>
        <v>2026/04/25 11:15:36 AM GMT+1</v>
      </c>
      <c r="B114" s="3" t="str">
        <f>Raw_Data!B114</f>
        <v>haoua8066@gmail.Com</v>
      </c>
      <c r="C114" s="3" t="str">
        <f ca="1">IFERROR(textbefore(Raw_Data!C114," / "),Raw_Data!C114)</f>
        <v>Orange</v>
      </c>
      <c r="D114" s="3" t="str">
        <f ca="1">IFERROR(textbefore(Raw_Data!D114," / "),Raw_Data!D114)</f>
        <v>North West Region</v>
      </c>
      <c r="E114" s="3" t="str">
        <f ca="1">IFERROR(textbefore(Raw_Data!E114," / "),Raw_Data!E114)</f>
        <v>iPhone</v>
      </c>
      <c r="F114" s="3" t="str">
        <f ca="1">IFERROR(textbefore(Raw_Data!F114," / "),Raw_Data!F114)</f>
        <v>20-25</v>
      </c>
      <c r="G114" s="3" t="str">
        <f ca="1">IFERROR(textbefore(textbefore(Raw_Data!G114,";")," / "),IFERROR(textbefore(Raw_Data!G114," / "),Raw_Data!G114))</f>
        <v>Very often / TrÃ¨s souvent</v>
      </c>
      <c r="H114" s="3" t="str">
        <f ca="1">IFERROR(textbefore(Raw_Data!H114," / "),Raw_Data!H114)</f>
        <v>Social media / RÃ©seaux sociaux;Messaging / Messagerie (WhatsApp, etc.)</v>
      </c>
      <c r="I114" s="3" t="str">
        <f ca="1">IFERROR(textbefore(Raw_Data!I114," / "),Raw_Data!I114)</f>
        <v>Average / Moyenne</v>
      </c>
      <c r="J114" s="3">
        <f>Raw_Data!J114</f>
        <v>3</v>
      </c>
      <c r="K114" s="3" t="str">
        <f ca="1">IFERROR(textbefore(Raw_Data!K114," / "),Raw_Data!K114)</f>
        <v>Poor / Instable</v>
      </c>
      <c r="L114" s="3" t="str">
        <f ca="1">IFERROR(textbefore(Raw_Data!L114," / "),Raw_Data!L114)</f>
        <v>Often / Souvent</v>
      </c>
      <c r="M114" s="3" t="str">
        <f ca="1">IFERROR(textbefore(Raw_Data!M114," / "),Raw_Data!M114)</f>
        <v>Slow internet / Internet lent;Call drops / Coupures d'appel;Poor call quality / Mauvaise qualitÃ© dâ€™appel</v>
      </c>
      <c r="N114" s="3" t="str">
        <f ca="1">IFERROR(textbefore(Raw_Data!N114," / "),Raw_Data!N114)</f>
        <v>Very often / TrÃ¨s souvent</v>
      </c>
      <c r="O114" s="3" t="str">
        <f ca="1">IFERROR(textbefore(Raw_Data!O114," / "),Raw_Data!O114)</f>
        <v>Evening / Soir</v>
      </c>
      <c r="P114" s="3" t="str">
        <f ca="1">IFERROR(textbefore(Raw_Data!P114," / "),Raw_Data!P114)</f>
        <v>Everywhere / Partout</v>
      </c>
      <c r="Q114" s="3" t="str">
        <f ca="1">IFERROR(textbefore(Raw_Data!Q114," / "),Raw_Data!Q114)</f>
        <v>Weak / Faible</v>
      </c>
      <c r="R114" s="3" t="str">
        <f ca="1">IFERROR(textbefore(Raw_Data!R114," / "),Raw_Data!R114)</f>
        <v>Moderately / Moyennement</v>
      </c>
      <c r="S114" s="3" t="str">
        <f ca="1">IFERROR(textbefore(Raw_Data!S114," / "),Raw_Data!S114)</f>
        <v>Yes / Oui</v>
      </c>
      <c r="T114" s="3" t="str">
        <f ca="1">IFERROR(textbefore(Raw_Data!T114," / "),Raw_Data!T114)</f>
        <v>Yes / Oui</v>
      </c>
      <c r="U114" s="3" t="str">
        <f ca="1">IFERROR(textbefore(Raw_Data!U114," / "),Raw_Data!U114)</f>
        <v>Once a day / Une fois par jour</v>
      </c>
      <c r="V114" s="3" t="str">
        <f ca="1">IFERROR(textbefore(Raw_Data!V114," / "),Raw_Data!V114)</f>
        <v>Yes / Oui</v>
      </c>
      <c r="W114" s="3" t="str">
        <f ca="1">IFERROR(textbefore(Raw_Data!W114," / "),Raw_Data!W114)</f>
        <v>Privacy / ConfidentialitÃ©;Battery usage / Batterie;Data usage / Consommation de donnÃ©es;Security / SÃ©curitÃ©</v>
      </c>
    </row>
    <row r="115" spans="1:23" ht="24.75" customHeight="1" x14ac:dyDescent="0.35">
      <c r="A115" s="3" t="str">
        <f>Raw_Data!A115</f>
        <v>2026/04/25 1:30:48 PM GMT+1</v>
      </c>
      <c r="B115" s="3" t="str">
        <f>Raw_Data!B115</f>
        <v>raphaelbayang132@gmail.com</v>
      </c>
      <c r="C115" s="3" t="str">
        <f ca="1">IFERROR(textbefore(Raw_Data!C115," / "),Raw_Data!C115)</f>
        <v>Orange</v>
      </c>
      <c r="D115" s="3" t="str">
        <f ca="1">IFERROR(textbefore(Raw_Data!D115," / "),Raw_Data!D115)</f>
        <v>Littoral Region</v>
      </c>
      <c r="E115" s="3" t="str">
        <f ca="1">IFERROR(textbefore(Raw_Data!E115," / "),Raw_Data!E115)</f>
        <v>Android</v>
      </c>
      <c r="F115" s="3" t="str">
        <f ca="1">IFERROR(textbefore(Raw_Data!F115," / "),Raw_Data!F115)</f>
        <v>25 and above</v>
      </c>
      <c r="G115" s="3" t="str">
        <f ca="1">IFERROR(textbefore(textbefore(Raw_Data!G115,";")," / "),IFERROR(textbefore(Raw_Data!G115," / "),Raw_Data!G115))</f>
        <v>Very often / TrÃ¨s souvent</v>
      </c>
      <c r="H115" s="3" t="str">
        <f ca="1">IFERROR(textbefore(Raw_Data!H115," / "),Raw_Data!H115)</f>
        <v>Social media / RÃ©seaux sociaux;Messaging / Messagerie (WhatsApp, etc.);Online classes/work / Cours ou travail en ligne</v>
      </c>
      <c r="I115" s="3" t="str">
        <f ca="1">IFERROR(textbefore(Raw_Data!I115," / "),Raw_Data!I115)</f>
        <v>Average / Moyenne</v>
      </c>
      <c r="J115" s="3">
        <f>Raw_Data!J115</f>
        <v>4</v>
      </c>
      <c r="K115" s="3" t="str">
        <f ca="1">IFERROR(textbefore(Raw_Data!K115," / "),Raw_Data!K115)</f>
        <v>Average / Moyenne</v>
      </c>
      <c r="L115" s="3" t="str">
        <f ca="1">IFERROR(textbefore(Raw_Data!L115," / "),Raw_Data!L115)</f>
        <v>Always / Toujours</v>
      </c>
      <c r="M115" s="3" t="str">
        <f ca="1">IFERROR(textbefore(Raw_Data!M115," / "),Raw_Data!M115)</f>
        <v>No signal / Pas de rÃ©seau</v>
      </c>
      <c r="N115" s="3" t="str">
        <f ca="1">IFERROR(textbefore(Raw_Data!N115," / "),Raw_Data!N115)</f>
        <v>Very often / TrÃ¨s souvent</v>
      </c>
      <c r="O115" s="3" t="str">
        <f ca="1">IFERROR(textbefore(Raw_Data!O115," / "),Raw_Data!O115)</f>
        <v>Evening / Soir</v>
      </c>
      <c r="P115" s="3" t="str">
        <f ca="1">IFERROR(textbefore(Raw_Data!P115," / "),Raw_Data!P115)</f>
        <v>Everywhere / Partout</v>
      </c>
      <c r="Q115" s="3" t="str">
        <f ca="1">IFERROR(textbefore(Raw_Data!Q115," / "),Raw_Data!Q115)</f>
        <v>Moderate / Moyen</v>
      </c>
      <c r="R115" s="3" t="str">
        <f ca="1">IFERROR(textbefore(Raw_Data!R115," / "),Raw_Data!R115)</f>
        <v>Moderately / Moyennement</v>
      </c>
      <c r="S115" s="3" t="str">
        <f ca="1">IFERROR(textbefore(Raw_Data!S115," / "),Raw_Data!S115)</f>
        <v>No / Non</v>
      </c>
      <c r="T115" s="3" t="str">
        <f ca="1">IFERROR(textbefore(Raw_Data!T115," / "),Raw_Data!T115)</f>
        <v>Yes / Oui</v>
      </c>
      <c r="U115" s="3" t="str">
        <f ca="1">IFERROR(textbefore(Raw_Data!U115," / "),Raw_Data!U115)</f>
        <v>Only when there is a problem / Seulement en cas de problÃ¨me</v>
      </c>
      <c r="V115" s="3" t="str">
        <f ca="1">IFERROR(textbefore(Raw_Data!V115," / "),Raw_Data!V115)</f>
        <v>Yes / Oui</v>
      </c>
      <c r="W115" s="3" t="str">
        <f ca="1">IFERROR(textbefore(Raw_Data!W115," / "),Raw_Data!W115)</f>
        <v>Data usage / Consommation de donnÃ©es</v>
      </c>
    </row>
    <row r="116" spans="1:23" ht="24.75" customHeight="1" x14ac:dyDescent="0.35">
      <c r="A116" s="3" t="str">
        <f>Raw_Data!A116</f>
        <v>2026/04/25 4:16:15 PM GMT+1</v>
      </c>
      <c r="B116" s="3" t="str">
        <f>Raw_Data!B116</f>
        <v>lenaabanda23@gmail.com</v>
      </c>
      <c r="C116" s="3" t="str">
        <f ca="1">IFERROR(textbefore(Raw_Data!C116," / "),Raw_Data!C116)</f>
        <v>MTN</v>
      </c>
      <c r="D116" s="3" t="str">
        <f ca="1">IFERROR(textbefore(Raw_Data!D116," / "),Raw_Data!D116)</f>
        <v>Southwest Region</v>
      </c>
      <c r="E116" s="3" t="str">
        <f ca="1">IFERROR(textbefore(Raw_Data!E116," / "),Raw_Data!E116)</f>
        <v>iPhone</v>
      </c>
      <c r="F116" s="3" t="str">
        <f ca="1">IFERROR(textbefore(Raw_Data!F116," / "),Raw_Data!F116)</f>
        <v>20-25</v>
      </c>
      <c r="G116" s="3" t="str">
        <f ca="1">IFERROR(textbefore(textbefore(Raw_Data!G116,";")," / "),IFERROR(textbefore(Raw_Data!G116," / "),Raw_Data!G116))</f>
        <v>Often / Souvent</v>
      </c>
      <c r="H116" s="3" t="str">
        <f ca="1">IFERROR(textbefore(Raw_Data!H116," / "),Raw_Data!H116)</f>
        <v>Messaging / Messagerie (WhatsApp, etc.)</v>
      </c>
      <c r="I116" s="3" t="str">
        <f ca="1">IFERROR(textbefore(Raw_Data!I116," / "),Raw_Data!I116)</f>
        <v>Poor / Mauvaise</v>
      </c>
      <c r="J116" s="3">
        <f>Raw_Data!J116</f>
        <v>3</v>
      </c>
      <c r="K116" s="3" t="str">
        <f ca="1">IFERROR(textbefore(Raw_Data!K116," / "),Raw_Data!K116)</f>
        <v>Average / Moyenne</v>
      </c>
      <c r="L116" s="3" t="str">
        <f ca="1">IFERROR(textbefore(Raw_Data!L116," / "),Raw_Data!L116)</f>
        <v>Often / Souvent</v>
      </c>
      <c r="M116" s="3" t="str">
        <f ca="1">IFERROR(textbefore(Raw_Data!M116," / "),Raw_Data!M116)</f>
        <v>Slow internet / Internet lent;No signal / Pas de rÃ©seau;Network outages / Pannes rÃ©seau</v>
      </c>
      <c r="N116" s="3" t="str">
        <f ca="1">IFERROR(textbefore(Raw_Data!N116," / "),Raw_Data!N116)</f>
        <v>Very often / TrÃ¨s souvent</v>
      </c>
      <c r="O116" s="3" t="str">
        <f ca="1">IFERROR(textbefore(Raw_Data!O116," / "),Raw_Data!O116)</f>
        <v>Evening / Soir</v>
      </c>
      <c r="P116" s="3" t="str">
        <f ca="1">IFERROR(textbefore(Raw_Data!P116," / "),Raw_Data!P116)</f>
        <v>School/Work / Ã‰cole/Travail</v>
      </c>
      <c r="Q116" s="3" t="str">
        <f ca="1">IFERROR(textbefore(Raw_Data!Q116," / "),Raw_Data!Q116)</f>
        <v>Weak / Faible</v>
      </c>
      <c r="R116" s="3" t="str">
        <f ca="1">IFERROR(textbefore(Raw_Data!R116," / "),Raw_Data!R116)</f>
        <v>Severely / Beaucoup</v>
      </c>
      <c r="S116" s="3" t="str">
        <f ca="1">IFERROR(textbefore(Raw_Data!S116," / "),Raw_Data!S116)</f>
        <v>Yes / Oui</v>
      </c>
      <c r="T116" s="3" t="str">
        <f ca="1">IFERROR(textbefore(Raw_Data!T116," / "),Raw_Data!T116)</f>
        <v>Yes / Oui</v>
      </c>
      <c r="U116" s="3" t="str">
        <f ca="1">IFERROR(textbefore(Raw_Data!U116," / "),Raw_Data!U116)</f>
        <v>Only when there is a problem / Seulement en cas de problÃ¨me</v>
      </c>
      <c r="V116" s="3" t="str">
        <f ca="1">IFERROR(textbefore(Raw_Data!V116," / "),Raw_Data!V116)</f>
        <v>Yes / Oui</v>
      </c>
      <c r="W116" s="3" t="str">
        <f ca="1">IFERROR(textbefore(Raw_Data!W116," / "),Raw_Data!W116)</f>
        <v>Privacy / ConfidentialitÃ©;Data usage / Consommation de donnÃ©es</v>
      </c>
    </row>
    <row r="117" spans="1:23" ht="24.75" customHeight="1" x14ac:dyDescent="0.35">
      <c r="A117" s="3" t="str">
        <f>Raw_Data!A117</f>
        <v>2026/04/25 4:16:49 PM GMT+1</v>
      </c>
      <c r="B117" s="3" t="str">
        <f>Raw_Data!B117</f>
        <v>londamengwe@gmail.com</v>
      </c>
      <c r="C117" s="3" t="str">
        <f ca="1">IFERROR(textbefore(Raw_Data!C117," / "),Raw_Data!C117)</f>
        <v>MTN</v>
      </c>
      <c r="D117" s="3" t="str">
        <f ca="1">IFERROR(textbefore(Raw_Data!D117," / "),Raw_Data!D117)</f>
        <v>Littoral Region</v>
      </c>
      <c r="E117" s="3" t="str">
        <f ca="1">IFERROR(textbefore(Raw_Data!E117," / "),Raw_Data!E117)</f>
        <v>Android</v>
      </c>
      <c r="F117" s="3" t="str">
        <f ca="1">IFERROR(textbefore(Raw_Data!F117," / "),Raw_Data!F117)</f>
        <v>25 and above</v>
      </c>
      <c r="G117" s="3" t="str">
        <f ca="1">IFERROR(textbefore(textbefore(Raw_Data!G117,";")," / "),IFERROR(textbefore(Raw_Data!G117," / "),Raw_Data!G117))</f>
        <v>Very often / TrÃ¨s souvent</v>
      </c>
      <c r="H117" s="3" t="str">
        <f ca="1">IFERROR(textbefore(Raw_Data!H117," / "),Raw_Data!H117)</f>
        <v>Social media / RÃ©seaux sociaux;Messaging / Messagerie (WhatsApp, etc.);Online classes/work / Cours ou travail en ligne</v>
      </c>
      <c r="I117" s="3" t="str">
        <f ca="1">IFERROR(textbefore(Raw_Data!I117," / "),Raw_Data!I117)</f>
        <v>Average / Moyenne</v>
      </c>
      <c r="J117" s="3">
        <f>Raw_Data!J117</f>
        <v>3</v>
      </c>
      <c r="K117" s="3" t="str">
        <f ca="1">IFERROR(textbefore(Raw_Data!K117," / "),Raw_Data!K117)</f>
        <v>Average / Moyenne</v>
      </c>
      <c r="L117" s="3" t="str">
        <f ca="1">IFERROR(textbefore(Raw_Data!L117," / "),Raw_Data!L117)</f>
        <v>Sometimes / Parfois</v>
      </c>
      <c r="M117" s="3" t="str">
        <f ca="1">IFERROR(textbefore(Raw_Data!M117," / "),Raw_Data!M117)</f>
        <v>Slow internet / Internet lent</v>
      </c>
      <c r="N117" s="3" t="str">
        <f ca="1">IFERROR(textbefore(Raw_Data!N117," / "),Raw_Data!N117)</f>
        <v>Sometimes / Parfois</v>
      </c>
      <c r="O117" s="3" t="str">
        <f ca="1">IFERROR(textbefore(Raw_Data!O117," / "),Raw_Data!O117)</f>
        <v>Afternoon / AprÃ¨s-midi</v>
      </c>
      <c r="P117" s="3" t="str">
        <f ca="1">IFERROR(textbefore(Raw_Data!P117," / "),Raw_Data!P117)</f>
        <v>Everywhere / Partout</v>
      </c>
      <c r="Q117" s="3" t="str">
        <f ca="1">IFERROR(textbefore(Raw_Data!Q117," / "),Raw_Data!Q117)</f>
        <v>Moderate / Moyen</v>
      </c>
      <c r="R117" s="3" t="str">
        <f ca="1">IFERROR(textbefore(Raw_Data!R117," / "),Raw_Data!R117)</f>
        <v>Slightly / Un peu</v>
      </c>
      <c r="S117" s="3" t="str">
        <f ca="1">IFERROR(textbefore(Raw_Data!S117," / "),Raw_Data!S117)</f>
        <v>Yes / Oui</v>
      </c>
      <c r="T117" s="3" t="str">
        <f ca="1">IFERROR(textbefore(Raw_Data!T117," / "),Raw_Data!T117)</f>
        <v>Yes / Oui</v>
      </c>
      <c r="U117" s="3" t="str">
        <f ca="1">IFERROR(textbefore(Raw_Data!U117," / "),Raw_Data!U117)</f>
        <v>Only when there is a problem / Seulement en cas de problÃ¨me</v>
      </c>
      <c r="V117" s="3" t="str">
        <f ca="1">IFERROR(textbefore(Raw_Data!V117," / "),Raw_Data!V117)</f>
        <v>No / Non</v>
      </c>
      <c r="W117" s="3" t="str">
        <f ca="1">IFERROR(textbefore(Raw_Data!W117," / "),Raw_Data!W117)</f>
        <v>Battery usage / Batterie;Data usage / Consommation de donnÃ©es</v>
      </c>
    </row>
    <row r="118" spans="1:23" ht="24.75" customHeight="1" x14ac:dyDescent="0.35">
      <c r="A118" s="3" t="str">
        <f>Raw_Data!A118</f>
        <v>2026/04/25 6:17:06 PM GMT+1</v>
      </c>
      <c r="B118" s="3" t="str">
        <f>Raw_Data!B118</f>
        <v>ashunfidelis@gmail.com</v>
      </c>
      <c r="C118" s="3" t="str">
        <f ca="1">IFERROR(textbefore(Raw_Data!C118," / "),Raw_Data!C118)</f>
        <v>MTN</v>
      </c>
      <c r="D118" s="3" t="str">
        <f ca="1">IFERROR(textbefore(Raw_Data!D118," / "),Raw_Data!D118)</f>
        <v>Southwest Region</v>
      </c>
      <c r="E118" s="3" t="str">
        <f ca="1">IFERROR(textbefore(Raw_Data!E118," / "),Raw_Data!E118)</f>
        <v>Android</v>
      </c>
      <c r="F118" s="3" t="str">
        <f ca="1">IFERROR(textbefore(Raw_Data!F118," / "),Raw_Data!F118)</f>
        <v>20-25</v>
      </c>
      <c r="G118" s="3" t="str">
        <f ca="1">IFERROR(textbefore(textbefore(Raw_Data!G118,";")," / "),IFERROR(textbefore(Raw_Data!G118," / "),Raw_Data!G118))</f>
        <v>Often / Souvent</v>
      </c>
      <c r="H118" s="3" t="str">
        <f ca="1">IFERROR(textbefore(Raw_Data!H118," / "),Raw_Data!H118)</f>
        <v>Social media / RÃ©seaux sociaux;Messaging / Messagerie (WhatsApp, etc.);Online classes/work / Cours ou travail en ligne;Gaming / Jeux;Browsing / Navigation</v>
      </c>
      <c r="I118" s="3" t="str">
        <f ca="1">IFERROR(textbefore(Raw_Data!I118," / "),Raw_Data!I118)</f>
        <v>Poor / Mauvaise</v>
      </c>
      <c r="J118" s="3">
        <f>Raw_Data!J118</f>
        <v>2</v>
      </c>
      <c r="K118" s="3" t="str">
        <f ca="1">IFERROR(textbefore(Raw_Data!K118," / "),Raw_Data!K118)</f>
        <v>Very Poor / TrÃ¨s instable</v>
      </c>
      <c r="L118" s="3" t="str">
        <f ca="1">IFERROR(textbefore(Raw_Data!L118," / "),Raw_Data!L118)</f>
        <v>Always / Toujours</v>
      </c>
      <c r="M118" s="3" t="str">
        <f ca="1">IFERROR(textbefore(Raw_Data!M118," / "),Raw_Data!M118)</f>
        <v>Slow internet / Internet lent;Poor call quality / Mauvaise qualitÃ© dâ€™appel;Network outages / Pannes rÃ©seau</v>
      </c>
      <c r="N118" s="3" t="str">
        <f ca="1">IFERROR(textbefore(Raw_Data!N118," / "),Raw_Data!N118)</f>
        <v>Often / Souvent</v>
      </c>
      <c r="O118" s="3" t="str">
        <f ca="1">IFERROR(textbefore(Raw_Data!O118," / "),Raw_Data!O118)</f>
        <v>Afternoon / AprÃ¨s-midi</v>
      </c>
      <c r="P118" s="3" t="str">
        <f ca="1">IFERROR(textbefore(Raw_Data!P118," / "),Raw_Data!P118)</f>
        <v>School/Work / Ã‰cole/Travail</v>
      </c>
      <c r="Q118" s="3" t="str">
        <f ca="1">IFERROR(textbefore(Raw_Data!Q118," / "),Raw_Data!Q118)</f>
        <v>Moderate / Moyen</v>
      </c>
      <c r="R118" s="3" t="str">
        <f ca="1">IFERROR(textbefore(Raw_Data!R118," / "),Raw_Data!R118)</f>
        <v>Moderately / Moyennement</v>
      </c>
      <c r="S118" s="3" t="str">
        <f ca="1">IFERROR(textbefore(Raw_Data!S118," / "),Raw_Data!S118)</f>
        <v>Yes / Oui</v>
      </c>
      <c r="T118" s="3" t="str">
        <f ca="1">IFERROR(textbefore(Raw_Data!T118," / "),Raw_Data!T118)</f>
        <v>Yes / Oui</v>
      </c>
      <c r="U118" s="3" t="str">
        <f ca="1">IFERROR(textbefore(Raw_Data!U118," / "),Raw_Data!U118)</f>
        <v>After about 3 to 5 times when network returns from network outage while using the app</v>
      </c>
      <c r="V118" s="3" t="str">
        <f ca="1">IFERROR(textbefore(Raw_Data!V118," / "),Raw_Data!V118)</f>
        <v>No / Non</v>
      </c>
      <c r="W118" s="3" t="str">
        <f ca="1">IFERROR(textbefore(Raw_Data!W118," / "),Raw_Data!W118)</f>
        <v>Privacy / ConfidentialitÃ©;Data usage / Consommation de donnÃ©es;Security / SÃ©curitÃ©</v>
      </c>
    </row>
    <row r="119" spans="1:23" ht="24.75" customHeight="1" x14ac:dyDescent="0.35">
      <c r="A119" s="3" t="str">
        <f>Raw_Data!A119</f>
        <v>2026/04/25 6:36:28 PM GMT+1</v>
      </c>
      <c r="B119" s="3" t="str">
        <f>Raw_Data!B119</f>
        <v>jacyrobinsong@gmail.com</v>
      </c>
      <c r="C119" s="3" t="str">
        <f ca="1">IFERROR(textbefore(Raw_Data!C119," / "),Raw_Data!C119)</f>
        <v>MTN;Orange</v>
      </c>
      <c r="D119" s="3" t="str">
        <f ca="1">IFERROR(textbefore(Raw_Data!D119," / "),Raw_Data!D119)</f>
        <v>Littoral Region</v>
      </c>
      <c r="E119" s="3" t="str">
        <f ca="1">IFERROR(textbefore(Raw_Data!E119," / "),Raw_Data!E119)</f>
        <v>Android</v>
      </c>
      <c r="F119" s="3" t="str">
        <f ca="1">IFERROR(textbefore(Raw_Data!F119," / "),Raw_Data!F119)</f>
        <v>25 and above</v>
      </c>
      <c r="G119" s="3" t="str">
        <f ca="1">IFERROR(textbefore(textbefore(Raw_Data!G119,";")," / "),IFERROR(textbefore(Raw_Data!G119," / "),Raw_Data!G119))</f>
        <v>Very often / TrÃ¨s souvent</v>
      </c>
      <c r="H119" s="3" t="str">
        <f ca="1">IFERROR(textbefore(Raw_Data!H119," / "),Raw_Data!H119)</f>
        <v>Social media / RÃ©seaux sociaux;Messaging / Messagerie (WhatsApp, etc.);Online classes/work / Cours ou travail en ligne;Browsing / Navigation</v>
      </c>
      <c r="I119" s="3" t="str">
        <f ca="1">IFERROR(textbefore(Raw_Data!I119," / "),Raw_Data!I119)</f>
        <v>Average / Moyenne</v>
      </c>
      <c r="J119" s="3">
        <f>Raw_Data!J119</f>
        <v>3</v>
      </c>
      <c r="K119" s="3" t="str">
        <f ca="1">IFERROR(textbefore(Raw_Data!K119," / "),Raw_Data!K119)</f>
        <v>Average / Moyenne</v>
      </c>
      <c r="L119" s="3" t="str">
        <f ca="1">IFERROR(textbefore(Raw_Data!L119," / "),Raw_Data!L119)</f>
        <v>Always / Toujours</v>
      </c>
      <c r="M119" s="3" t="str">
        <f ca="1">IFERROR(textbefore(Raw_Data!M119," / "),Raw_Data!M119)</f>
        <v>Slow internet / Internet lent;No signal / Pas de rÃ©seau;Poor call quality / Mauvaise qualitÃ© dâ€™appel</v>
      </c>
      <c r="N119" s="3" t="str">
        <f ca="1">IFERROR(textbefore(Raw_Data!N119," / "),Raw_Data!N119)</f>
        <v>Often / Souvent</v>
      </c>
      <c r="O119" s="3" t="str">
        <f ca="1">IFERROR(textbefore(Raw_Data!O119," / "),Raw_Data!O119)</f>
        <v>Afternoon / AprÃ¨s-midi</v>
      </c>
      <c r="P119" s="3" t="str">
        <f ca="1">IFERROR(textbefore(Raw_Data!P119," / "),Raw_Data!P119)</f>
        <v>Everywhere / Partout</v>
      </c>
      <c r="Q119" s="3" t="str">
        <f ca="1">IFERROR(textbefore(Raw_Data!Q119," / "),Raw_Data!Q119)</f>
        <v>Moderate / Moyen</v>
      </c>
      <c r="R119" s="3" t="str">
        <f ca="1">IFERROR(textbefore(Raw_Data!R119," / "),Raw_Data!R119)</f>
        <v>Severely / Beaucoup</v>
      </c>
      <c r="S119" s="3" t="str">
        <f ca="1">IFERROR(textbefore(Raw_Data!S119," / "),Raw_Data!S119)</f>
        <v>Yes / Oui</v>
      </c>
      <c r="T119" s="3" t="str">
        <f ca="1">IFERROR(textbefore(Raw_Data!T119," / "),Raw_Data!T119)</f>
        <v>Yes / Oui</v>
      </c>
      <c r="U119" s="3" t="str">
        <f ca="1">IFERROR(textbefore(Raw_Data!U119," / "),Raw_Data!U119)</f>
        <v>Only when there is a problem / Seulement en cas de problÃ¨me</v>
      </c>
      <c r="V119" s="3" t="str">
        <f ca="1">IFERROR(textbefore(Raw_Data!V119," / "),Raw_Data!V119)</f>
        <v>Yes / Oui</v>
      </c>
      <c r="W119" s="3" t="str">
        <f ca="1">IFERROR(textbefore(Raw_Data!W119," / "),Raw_Data!W119)</f>
        <v>Privacy / ConfidentialitÃ©;Security / SÃ©curitÃ©</v>
      </c>
    </row>
    <row r="120" spans="1:23" ht="24.75" customHeight="1" x14ac:dyDescent="0.35">
      <c r="A120" s="3" t="str">
        <f>Raw_Data!A120</f>
        <v>2026/04/25 8:33:13 PM GMT+1</v>
      </c>
      <c r="B120" s="3" t="str">
        <f>Raw_Data!B120</f>
        <v>miltonkhan030@gmail.com</v>
      </c>
      <c r="C120" s="3" t="str">
        <f ca="1">IFERROR(textbefore(Raw_Data!C120," / "),Raw_Data!C120)</f>
        <v>MTN;Orange</v>
      </c>
      <c r="D120" s="3" t="str">
        <f ca="1">IFERROR(textbefore(Raw_Data!D120," / "),Raw_Data!D120)</f>
        <v>North West Region</v>
      </c>
      <c r="E120" s="3" t="str">
        <f ca="1">IFERROR(textbefore(Raw_Data!E120," / "),Raw_Data!E120)</f>
        <v>iPhone</v>
      </c>
      <c r="F120" s="3" t="str">
        <f ca="1">IFERROR(textbefore(Raw_Data!F120," / "),Raw_Data!F120)</f>
        <v>20-25</v>
      </c>
      <c r="G120" s="3" t="str">
        <f ca="1">IFERROR(textbefore(textbefore(Raw_Data!G120,";")," / "),IFERROR(textbefore(Raw_Data!G120," / "),Raw_Data!G120))</f>
        <v>Very often / TrÃ¨s souvent</v>
      </c>
      <c r="H120" s="3" t="str">
        <f ca="1">IFERROR(textbefore(Raw_Data!H120," / "),Raw_Data!H120)</f>
        <v>Social media / RÃ©seaux sociaux</v>
      </c>
      <c r="I120" s="3" t="str">
        <f ca="1">IFERROR(textbefore(Raw_Data!I120," / "),Raw_Data!I120)</f>
        <v>Poor / Mauvaise</v>
      </c>
      <c r="J120" s="3">
        <f>Raw_Data!J120</f>
        <v>2</v>
      </c>
      <c r="K120" s="3" t="str">
        <f ca="1">IFERROR(textbefore(Raw_Data!K120," / "),Raw_Data!K120)</f>
        <v>Poor / Instable</v>
      </c>
      <c r="L120" s="3" t="str">
        <f ca="1">IFERROR(textbefore(Raw_Data!L120," / "),Raw_Data!L120)</f>
        <v>Often / Souvent</v>
      </c>
      <c r="M120" s="3" t="str">
        <f ca="1">IFERROR(textbefore(Raw_Data!M120," / "),Raw_Data!M120)</f>
        <v>Slow internet / Internet lent</v>
      </c>
      <c r="N120" s="3" t="str">
        <f ca="1">IFERROR(textbefore(Raw_Data!N120," / "),Raw_Data!N120)</f>
        <v>Often / Souvent</v>
      </c>
      <c r="O120" s="3" t="str">
        <f ca="1">IFERROR(textbefore(Raw_Data!O120," / "),Raw_Data!O120)</f>
        <v>Evening / Soir</v>
      </c>
      <c r="P120" s="3" t="str">
        <f ca="1">IFERROR(textbefore(Raw_Data!P120," / "),Raw_Data!P120)</f>
        <v>School/Work / Ã‰cole/Travail</v>
      </c>
      <c r="Q120" s="3" t="str">
        <f ca="1">IFERROR(textbefore(Raw_Data!Q120," / "),Raw_Data!Q120)</f>
        <v>Weak / Faible</v>
      </c>
      <c r="R120" s="3" t="str">
        <f ca="1">IFERROR(textbefore(Raw_Data!R120," / "),Raw_Data!R120)</f>
        <v>Slightly / Un peu</v>
      </c>
      <c r="S120" s="3" t="str">
        <f ca="1">IFERROR(textbefore(Raw_Data!S120," / "),Raw_Data!S120)</f>
        <v>No / Non</v>
      </c>
      <c r="T120" s="3" t="str">
        <f ca="1">IFERROR(textbefore(Raw_Data!T120," / "),Raw_Data!T120)</f>
        <v>No / Non</v>
      </c>
      <c r="U120" s="3" t="str">
        <f ca="1">IFERROR(textbefore(Raw_Data!U120," / "),Raw_Data!U120)</f>
        <v>Never / Jamais</v>
      </c>
      <c r="V120" s="3" t="str">
        <f ca="1">IFERROR(textbefore(Raw_Data!V120," / "),Raw_Data!V120)</f>
        <v>No / Non</v>
      </c>
      <c r="W120" s="3" t="str">
        <f ca="1">IFERROR(textbefore(Raw_Data!W120," / "),Raw_Data!W120)</f>
        <v>Privacy / ConfidentialitÃ©</v>
      </c>
    </row>
    <row r="121" spans="1:23" ht="24.75" customHeight="1" x14ac:dyDescent="0.35">
      <c r="A121" s="3" t="str">
        <f>Raw_Data!A121</f>
        <v>2026/04/25 9:38:01 PM GMT+1</v>
      </c>
      <c r="B121" s="3" t="str">
        <f>Raw_Data!B121</f>
        <v>djieutcheuchantal@gmail.com</v>
      </c>
      <c r="C121" s="3" t="str">
        <f ca="1">IFERROR(textbefore(Raw_Data!C121," / "),Raw_Data!C121)</f>
        <v>MTN;Orange</v>
      </c>
      <c r="D121" s="3" t="str">
        <f ca="1">IFERROR(textbefore(Raw_Data!D121," / "),Raw_Data!D121)</f>
        <v>Southwest Region</v>
      </c>
      <c r="E121" s="3" t="str">
        <f ca="1">IFERROR(textbefore(Raw_Data!E121," / "),Raw_Data!E121)</f>
        <v>Android</v>
      </c>
      <c r="F121" s="3" t="str">
        <f ca="1">IFERROR(textbefore(Raw_Data!F121," / "),Raw_Data!F121)</f>
        <v>20-25</v>
      </c>
      <c r="G121" s="3" t="str">
        <f ca="1">IFERROR(textbefore(textbefore(Raw_Data!G121,";")," / "),IFERROR(textbefore(Raw_Data!G121," / "),Raw_Data!G121))</f>
        <v>Very often / TrÃ¨s souvent</v>
      </c>
      <c r="H121" s="3" t="str">
        <f ca="1">IFERROR(textbefore(Raw_Data!H121," / "),Raw_Data!H121)</f>
        <v>Social media / RÃ©seaux sociaux;Video streaming / VidÃ©o (YouTube, Netflix);Messaging / Messagerie (WhatsApp, etc.);Browsing / Navigation</v>
      </c>
      <c r="I121" s="3" t="str">
        <f ca="1">IFERROR(textbefore(Raw_Data!I121," / "),Raw_Data!I121)</f>
        <v>Average / Moyenne</v>
      </c>
      <c r="J121" s="3">
        <f>Raw_Data!J121</f>
        <v>3</v>
      </c>
      <c r="K121" s="3" t="str">
        <f ca="1">IFERROR(textbefore(Raw_Data!K121," / "),Raw_Data!K121)</f>
        <v>Average / Moyenne</v>
      </c>
      <c r="L121" s="3" t="str">
        <f ca="1">IFERROR(textbefore(Raw_Data!L121," / "),Raw_Data!L121)</f>
        <v>Sometimes / Parfois</v>
      </c>
      <c r="M121" s="3" t="str">
        <f ca="1">IFERROR(textbefore(Raw_Data!M121," / "),Raw_Data!M121)</f>
        <v>Slow internet / Internet lent;No signal / Pas de rÃ©seau;Poor call quality / Mauvaise qualitÃ© dâ€™appel</v>
      </c>
      <c r="N121" s="3" t="str">
        <f ca="1">IFERROR(textbefore(Raw_Data!N121," / "),Raw_Data!N121)</f>
        <v>Sometimes / Parfois</v>
      </c>
      <c r="O121" s="3" t="str">
        <f ca="1">IFERROR(textbefore(Raw_Data!O121," / "),Raw_Data!O121)</f>
        <v>Evening / Soir</v>
      </c>
      <c r="P121" s="3" t="str">
        <f ca="1">IFERROR(textbefore(Raw_Data!P121," / "),Raw_Data!P121)</f>
        <v>School/Work / Ã‰cole/Travail</v>
      </c>
      <c r="Q121" s="3" t="str">
        <f ca="1">IFERROR(textbefore(Raw_Data!Q121," / "),Raw_Data!Q121)</f>
        <v>Moderate / Moyen</v>
      </c>
      <c r="R121" s="3" t="str">
        <f ca="1">IFERROR(textbefore(Raw_Data!R121," / "),Raw_Data!R121)</f>
        <v>Slightly / Un peu</v>
      </c>
      <c r="S121" s="3" t="str">
        <f ca="1">IFERROR(textbefore(Raw_Data!S121," / "),Raw_Data!S121)</f>
        <v>Yes / Oui</v>
      </c>
      <c r="T121" s="3" t="str">
        <f ca="1">IFERROR(textbefore(Raw_Data!T121," / "),Raw_Data!T121)</f>
        <v>Yes / Oui</v>
      </c>
      <c r="U121" s="3" t="str">
        <f ca="1">IFERROR(textbefore(Raw_Data!U121," / "),Raw_Data!U121)</f>
        <v>Once a day / Une fois par jour</v>
      </c>
      <c r="V121" s="3" t="str">
        <f ca="1">IFERROR(textbefore(Raw_Data!V121," / "),Raw_Data!V121)</f>
        <v>Yes / Oui</v>
      </c>
      <c r="W121" s="3" t="str">
        <f ca="1">IFERROR(textbefore(Raw_Data!W121," / "),Raw_Data!W121)</f>
        <v>Privacy / ConfidentialitÃ©;Data usage / Consommation de donnÃ©es;Security / SÃ©curitÃ©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86"/>
  <sheetViews>
    <sheetView zoomScale="85" zoomScaleNormal="85" workbookViewId="0">
      <pane ySplit="1" topLeftCell="A104" activePane="bottomLeft" state="frozen"/>
      <selection pane="bottomLeft" activeCell="B1" sqref="B1"/>
    </sheetView>
  </sheetViews>
  <sheetFormatPr defaultColWidth="8.7265625" defaultRowHeight="14.5" x14ac:dyDescent="0.35"/>
  <cols>
    <col min="1" max="1" width="26" style="1" customWidth="1"/>
    <col min="2" max="2" width="35" style="1" customWidth="1"/>
    <col min="3" max="3" width="21" style="1" customWidth="1"/>
    <col min="4" max="4" width="27" style="1" customWidth="1"/>
    <col min="5" max="5" width="16.90625" style="1" customWidth="1"/>
    <col min="6" max="6" width="14" style="1" customWidth="1"/>
    <col min="7" max="7" width="26" style="1" customWidth="1"/>
    <col min="8" max="8" width="35" style="1" customWidth="1"/>
    <col min="9" max="9" width="20" style="1" customWidth="1"/>
    <col min="10" max="10" width="22.08984375" style="1" customWidth="1"/>
    <col min="11" max="11" width="23.90625" style="1" customWidth="1"/>
    <col min="12" max="12" width="27" style="1" customWidth="1"/>
    <col min="13" max="13" width="35" style="1" customWidth="1"/>
    <col min="14" max="14" width="19" style="1" customWidth="1"/>
    <col min="15" max="15" width="20" style="1" customWidth="1"/>
    <col min="16" max="16" width="35" style="1" customWidth="1"/>
    <col min="17" max="17" width="16.90625" style="1" customWidth="1"/>
    <col min="18" max="18" width="28" style="1" customWidth="1"/>
    <col min="19" max="19" width="14.90625" style="1" customWidth="1"/>
    <col min="20" max="20" width="23" style="1" customWidth="1"/>
    <col min="21" max="21" width="35" style="1" customWidth="1"/>
    <col min="22" max="22" width="30" style="1" customWidth="1"/>
    <col min="23" max="23" width="35" style="1" customWidth="1"/>
  </cols>
  <sheetData>
    <row r="1" spans="1:23" ht="4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24.75" customHeight="1" x14ac:dyDescent="0.3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333</v>
      </c>
      <c r="H2" s="3" t="s">
        <v>334</v>
      </c>
      <c r="I2" s="3" t="s">
        <v>335</v>
      </c>
      <c r="J2" s="3">
        <v>2</v>
      </c>
      <c r="K2" s="3" t="s">
        <v>335</v>
      </c>
      <c r="L2" s="3" t="s">
        <v>336</v>
      </c>
      <c r="M2" s="3" t="s">
        <v>337</v>
      </c>
      <c r="N2" s="3" t="s">
        <v>336</v>
      </c>
      <c r="O2" s="3" t="s">
        <v>338</v>
      </c>
      <c r="P2" s="3" t="s">
        <v>339</v>
      </c>
      <c r="Q2" s="3" t="s">
        <v>340</v>
      </c>
      <c r="R2" s="3" t="s">
        <v>341</v>
      </c>
      <c r="S2" s="3" t="s">
        <v>342</v>
      </c>
      <c r="T2" s="3" t="s">
        <v>342</v>
      </c>
      <c r="U2" s="3" t="s">
        <v>343</v>
      </c>
      <c r="V2" s="3" t="s">
        <v>342</v>
      </c>
      <c r="W2" s="3" t="s">
        <v>344</v>
      </c>
    </row>
    <row r="3" spans="1:23" ht="24.75" customHeight="1" x14ac:dyDescent="0.35">
      <c r="A3" s="3" t="s">
        <v>40</v>
      </c>
      <c r="B3" s="3" t="s">
        <v>41</v>
      </c>
      <c r="C3" s="3" t="s">
        <v>42</v>
      </c>
      <c r="D3" s="3" t="s">
        <v>26</v>
      </c>
      <c r="E3" s="3" t="s">
        <v>27</v>
      </c>
      <c r="F3" s="3" t="s">
        <v>28</v>
      </c>
      <c r="G3" s="3" t="s">
        <v>333</v>
      </c>
      <c r="H3" s="3" t="s">
        <v>345</v>
      </c>
      <c r="I3" s="3" t="s">
        <v>346</v>
      </c>
      <c r="J3" s="3">
        <v>3</v>
      </c>
      <c r="K3" s="3" t="s">
        <v>346</v>
      </c>
      <c r="L3" s="3" t="s">
        <v>336</v>
      </c>
      <c r="M3" s="3" t="s">
        <v>337</v>
      </c>
      <c r="N3" s="3" t="s">
        <v>333</v>
      </c>
      <c r="O3" s="3" t="s">
        <v>338</v>
      </c>
      <c r="P3" s="3" t="s">
        <v>339</v>
      </c>
      <c r="Q3" s="3" t="s">
        <v>347</v>
      </c>
      <c r="R3" s="3" t="s">
        <v>341</v>
      </c>
      <c r="S3" s="3" t="s">
        <v>348</v>
      </c>
      <c r="T3" s="3" t="s">
        <v>348</v>
      </c>
      <c r="U3" s="3" t="s">
        <v>349</v>
      </c>
      <c r="V3" s="3" t="s">
        <v>348</v>
      </c>
      <c r="W3" s="3" t="s">
        <v>350</v>
      </c>
    </row>
    <row r="4" spans="1:23" ht="24.75" customHeight="1" x14ac:dyDescent="0.35">
      <c r="A4" s="3" t="s">
        <v>46</v>
      </c>
      <c r="B4" s="3" t="s">
        <v>47</v>
      </c>
      <c r="C4" s="3" t="s">
        <v>351</v>
      </c>
      <c r="D4" s="3" t="s">
        <v>49</v>
      </c>
      <c r="E4" s="3" t="s">
        <v>50</v>
      </c>
      <c r="F4" s="3" t="s">
        <v>28</v>
      </c>
      <c r="G4" s="3" t="s">
        <v>333</v>
      </c>
      <c r="H4" s="3" t="s">
        <v>352</v>
      </c>
      <c r="I4" s="3" t="s">
        <v>353</v>
      </c>
      <c r="J4" s="3">
        <v>3</v>
      </c>
      <c r="K4" s="3" t="s">
        <v>353</v>
      </c>
      <c r="L4" s="3" t="s">
        <v>354</v>
      </c>
      <c r="M4" s="3" t="s">
        <v>355</v>
      </c>
      <c r="N4" s="3" t="s">
        <v>336</v>
      </c>
      <c r="O4" s="3" t="s">
        <v>356</v>
      </c>
      <c r="P4" s="3" t="s">
        <v>339</v>
      </c>
      <c r="Q4" s="3" t="s">
        <v>347</v>
      </c>
      <c r="R4" s="3" t="s">
        <v>357</v>
      </c>
      <c r="S4" s="3" t="s">
        <v>342</v>
      </c>
      <c r="T4" s="3" t="s">
        <v>342</v>
      </c>
      <c r="U4" s="3" t="s">
        <v>343</v>
      </c>
      <c r="V4" s="3" t="s">
        <v>342</v>
      </c>
      <c r="W4" s="3" t="s">
        <v>358</v>
      </c>
    </row>
    <row r="5" spans="1:23" ht="24.75" customHeight="1" x14ac:dyDescent="0.35">
      <c r="A5" s="3" t="s">
        <v>54</v>
      </c>
      <c r="B5" s="3" t="s">
        <v>55</v>
      </c>
      <c r="C5" s="3" t="s">
        <v>42</v>
      </c>
      <c r="D5" s="3" t="s">
        <v>26</v>
      </c>
      <c r="E5" s="3" t="s">
        <v>27</v>
      </c>
      <c r="F5" s="3" t="s">
        <v>28</v>
      </c>
      <c r="G5" s="3" t="s">
        <v>333</v>
      </c>
      <c r="H5" s="3" t="s">
        <v>345</v>
      </c>
      <c r="I5" s="3" t="s">
        <v>335</v>
      </c>
      <c r="J5" s="3">
        <v>3</v>
      </c>
      <c r="K5" s="3" t="s">
        <v>353</v>
      </c>
      <c r="L5" s="3" t="s">
        <v>354</v>
      </c>
      <c r="M5" s="3" t="s">
        <v>337</v>
      </c>
      <c r="N5" s="3" t="s">
        <v>336</v>
      </c>
      <c r="O5" s="3" t="s">
        <v>359</v>
      </c>
      <c r="P5" s="3" t="s">
        <v>360</v>
      </c>
      <c r="Q5" s="3" t="s">
        <v>347</v>
      </c>
      <c r="R5" s="3" t="s">
        <v>341</v>
      </c>
      <c r="S5" s="3" t="s">
        <v>342</v>
      </c>
      <c r="T5" s="3" t="s">
        <v>342</v>
      </c>
      <c r="U5" s="3" t="s">
        <v>361</v>
      </c>
      <c r="V5" s="3" t="s">
        <v>342</v>
      </c>
      <c r="W5" s="3" t="s">
        <v>362</v>
      </c>
    </row>
    <row r="6" spans="1:23" ht="24.75" customHeight="1" x14ac:dyDescent="0.35">
      <c r="A6" s="3" t="s">
        <v>58</v>
      </c>
      <c r="B6" s="3" t="s">
        <v>59</v>
      </c>
      <c r="C6" s="3" t="s">
        <v>363</v>
      </c>
      <c r="D6" s="3" t="s">
        <v>26</v>
      </c>
      <c r="E6" s="3" t="s">
        <v>364</v>
      </c>
      <c r="F6" s="3" t="s">
        <v>62</v>
      </c>
      <c r="G6" s="3" t="s">
        <v>333</v>
      </c>
      <c r="H6" s="3" t="s">
        <v>365</v>
      </c>
      <c r="I6" s="3" t="s">
        <v>353</v>
      </c>
      <c r="J6" s="3">
        <v>2</v>
      </c>
      <c r="K6" s="3" t="s">
        <v>335</v>
      </c>
      <c r="L6" s="3" t="s">
        <v>336</v>
      </c>
      <c r="M6" s="3" t="s">
        <v>366</v>
      </c>
      <c r="N6" s="3" t="s">
        <v>336</v>
      </c>
      <c r="O6" s="3" t="s">
        <v>356</v>
      </c>
      <c r="P6" s="3" t="s">
        <v>339</v>
      </c>
      <c r="Q6" s="3" t="s">
        <v>347</v>
      </c>
      <c r="R6" s="3" t="s">
        <v>341</v>
      </c>
      <c r="S6" s="3" t="s">
        <v>342</v>
      </c>
      <c r="T6" s="3" t="s">
        <v>342</v>
      </c>
      <c r="U6" s="3" t="s">
        <v>361</v>
      </c>
      <c r="V6" s="3" t="s">
        <v>342</v>
      </c>
      <c r="W6" s="3" t="s">
        <v>358</v>
      </c>
    </row>
    <row r="7" spans="1:23" ht="24.75" customHeight="1" x14ac:dyDescent="0.35">
      <c r="A7" s="3" t="s">
        <v>63</v>
      </c>
      <c r="B7" s="3" t="s">
        <v>64</v>
      </c>
      <c r="C7" s="3" t="s">
        <v>42</v>
      </c>
      <c r="D7" s="3" t="s">
        <v>65</v>
      </c>
      <c r="E7" s="3" t="s">
        <v>27</v>
      </c>
      <c r="F7" s="3" t="s">
        <v>66</v>
      </c>
      <c r="G7" s="3" t="s">
        <v>333</v>
      </c>
      <c r="H7" s="3" t="s">
        <v>367</v>
      </c>
      <c r="I7" s="3" t="s">
        <v>353</v>
      </c>
      <c r="J7" s="3">
        <v>2</v>
      </c>
      <c r="K7" s="3" t="s">
        <v>353</v>
      </c>
      <c r="L7" s="3" t="s">
        <v>368</v>
      </c>
      <c r="M7" s="3" t="s">
        <v>369</v>
      </c>
      <c r="N7" s="3" t="s">
        <v>333</v>
      </c>
      <c r="O7" s="3" t="s">
        <v>356</v>
      </c>
      <c r="P7" s="3" t="s">
        <v>360</v>
      </c>
      <c r="Q7" s="3" t="s">
        <v>370</v>
      </c>
      <c r="R7" s="3" t="s">
        <v>341</v>
      </c>
      <c r="S7" s="3" t="s">
        <v>342</v>
      </c>
      <c r="T7" s="3" t="s">
        <v>348</v>
      </c>
      <c r="U7" s="3" t="s">
        <v>361</v>
      </c>
      <c r="V7" s="3" t="s">
        <v>348</v>
      </c>
      <c r="W7" s="3" t="s">
        <v>371</v>
      </c>
    </row>
    <row r="8" spans="1:23" ht="24.75" customHeight="1" x14ac:dyDescent="0.35">
      <c r="A8" s="3" t="s">
        <v>69</v>
      </c>
      <c r="B8" s="3" t="s">
        <v>70</v>
      </c>
      <c r="C8" s="3" t="s">
        <v>42</v>
      </c>
      <c r="D8" s="3" t="s">
        <v>26</v>
      </c>
      <c r="E8" s="3" t="s">
        <v>27</v>
      </c>
      <c r="F8" s="3" t="s">
        <v>28</v>
      </c>
      <c r="G8" s="3" t="s">
        <v>336</v>
      </c>
      <c r="H8" s="3" t="s">
        <v>372</v>
      </c>
      <c r="I8" s="3" t="s">
        <v>335</v>
      </c>
      <c r="J8" s="3">
        <v>1</v>
      </c>
      <c r="K8" s="3" t="s">
        <v>335</v>
      </c>
      <c r="L8" s="3" t="s">
        <v>368</v>
      </c>
      <c r="M8" s="3" t="s">
        <v>373</v>
      </c>
      <c r="N8" s="3" t="s">
        <v>336</v>
      </c>
      <c r="O8" s="3" t="s">
        <v>356</v>
      </c>
      <c r="P8" s="3" t="s">
        <v>360</v>
      </c>
      <c r="Q8" s="3" t="s">
        <v>340</v>
      </c>
      <c r="R8" s="3" t="s">
        <v>341</v>
      </c>
      <c r="S8" s="3" t="s">
        <v>348</v>
      </c>
      <c r="T8" s="3" t="s">
        <v>348</v>
      </c>
      <c r="U8" s="3" t="s">
        <v>374</v>
      </c>
      <c r="V8" s="3" t="s">
        <v>348</v>
      </c>
      <c r="W8" s="3" t="s">
        <v>371</v>
      </c>
    </row>
    <row r="9" spans="1:23" ht="24.75" customHeight="1" x14ac:dyDescent="0.35">
      <c r="A9" s="3" t="s">
        <v>72</v>
      </c>
      <c r="B9" s="3" t="s">
        <v>73</v>
      </c>
      <c r="C9" s="3" t="s">
        <v>363</v>
      </c>
      <c r="D9" s="3" t="s">
        <v>49</v>
      </c>
      <c r="E9" s="3" t="s">
        <v>27</v>
      </c>
      <c r="F9" s="3" t="s">
        <v>28</v>
      </c>
      <c r="G9" s="3" t="s">
        <v>333</v>
      </c>
      <c r="H9" s="3" t="s">
        <v>375</v>
      </c>
      <c r="I9" s="3" t="s">
        <v>353</v>
      </c>
      <c r="J9" s="3">
        <v>3</v>
      </c>
      <c r="K9" s="3" t="s">
        <v>353</v>
      </c>
      <c r="L9" s="3" t="s">
        <v>354</v>
      </c>
      <c r="M9" s="3" t="s">
        <v>376</v>
      </c>
      <c r="N9" s="3" t="s">
        <v>336</v>
      </c>
      <c r="O9" s="3" t="s">
        <v>356</v>
      </c>
      <c r="P9" s="3" t="s">
        <v>339</v>
      </c>
      <c r="Q9" s="3" t="s">
        <v>347</v>
      </c>
      <c r="R9" s="3" t="s">
        <v>357</v>
      </c>
      <c r="S9" s="3" t="s">
        <v>342</v>
      </c>
      <c r="T9" s="3" t="s">
        <v>342</v>
      </c>
      <c r="U9" s="3" t="s">
        <v>374</v>
      </c>
      <c r="V9" s="3" t="s">
        <v>342</v>
      </c>
      <c r="W9" s="3" t="s">
        <v>377</v>
      </c>
    </row>
    <row r="10" spans="1:23" ht="24.75" customHeight="1" x14ac:dyDescent="0.35">
      <c r="A10" s="3" t="s">
        <v>74</v>
      </c>
      <c r="B10" s="3" t="s">
        <v>75</v>
      </c>
      <c r="C10" s="3" t="s">
        <v>351</v>
      </c>
      <c r="D10" s="3" t="s">
        <v>76</v>
      </c>
      <c r="E10" s="3" t="s">
        <v>27</v>
      </c>
      <c r="F10" s="3" t="s">
        <v>62</v>
      </c>
      <c r="G10" s="3" t="s">
        <v>333</v>
      </c>
      <c r="H10" s="3" t="s">
        <v>378</v>
      </c>
      <c r="I10" s="3" t="s">
        <v>353</v>
      </c>
      <c r="J10" s="3">
        <v>3</v>
      </c>
      <c r="K10" s="3" t="s">
        <v>353</v>
      </c>
      <c r="L10" s="3" t="s">
        <v>354</v>
      </c>
      <c r="M10" s="3" t="s">
        <v>379</v>
      </c>
      <c r="N10" s="3" t="s">
        <v>354</v>
      </c>
      <c r="O10" s="3" t="s">
        <v>356</v>
      </c>
      <c r="P10" s="3" t="s">
        <v>339</v>
      </c>
      <c r="Q10" s="3" t="s">
        <v>347</v>
      </c>
      <c r="R10" s="3" t="s">
        <v>341</v>
      </c>
      <c r="S10" s="3" t="s">
        <v>348</v>
      </c>
      <c r="T10" s="3" t="s">
        <v>348</v>
      </c>
      <c r="U10" s="3" t="s">
        <v>361</v>
      </c>
      <c r="V10" s="3" t="s">
        <v>348</v>
      </c>
      <c r="W10" s="3" t="s">
        <v>380</v>
      </c>
    </row>
    <row r="11" spans="1:23" ht="24.75" customHeight="1" x14ac:dyDescent="0.35">
      <c r="A11" s="3" t="s">
        <v>78</v>
      </c>
      <c r="B11" s="3" t="s">
        <v>79</v>
      </c>
      <c r="C11" s="3" t="s">
        <v>42</v>
      </c>
      <c r="D11" s="3" t="s">
        <v>49</v>
      </c>
      <c r="E11" s="3" t="s">
        <v>50</v>
      </c>
      <c r="F11" s="3" t="s">
        <v>66</v>
      </c>
      <c r="G11" s="3" t="s">
        <v>333</v>
      </c>
      <c r="H11" s="3" t="s">
        <v>80</v>
      </c>
      <c r="I11" s="3" t="s">
        <v>381</v>
      </c>
      <c r="J11" s="3">
        <v>4</v>
      </c>
      <c r="K11" s="3" t="s">
        <v>381</v>
      </c>
      <c r="L11" s="3" t="s">
        <v>349</v>
      </c>
      <c r="M11" s="3" t="s">
        <v>337</v>
      </c>
      <c r="N11" s="3" t="s">
        <v>354</v>
      </c>
      <c r="O11" s="3" t="s">
        <v>356</v>
      </c>
      <c r="P11" s="3" t="s">
        <v>360</v>
      </c>
      <c r="Q11" s="3" t="s">
        <v>347</v>
      </c>
      <c r="R11" s="3" t="s">
        <v>341</v>
      </c>
      <c r="S11" s="3" t="s">
        <v>342</v>
      </c>
      <c r="T11" s="3" t="s">
        <v>348</v>
      </c>
      <c r="U11" s="3" t="s">
        <v>343</v>
      </c>
      <c r="V11" s="3" t="s">
        <v>348</v>
      </c>
      <c r="W11" s="3" t="s">
        <v>377</v>
      </c>
    </row>
    <row r="12" spans="1:23" ht="24.75" customHeight="1" x14ac:dyDescent="0.35">
      <c r="A12" s="3" t="s">
        <v>83</v>
      </c>
      <c r="B12" s="3" t="s">
        <v>84</v>
      </c>
      <c r="C12" s="3" t="s">
        <v>42</v>
      </c>
      <c r="D12" s="3" t="s">
        <v>26</v>
      </c>
      <c r="E12" s="3" t="s">
        <v>50</v>
      </c>
      <c r="F12" s="3" t="s">
        <v>28</v>
      </c>
      <c r="G12" s="3" t="s">
        <v>333</v>
      </c>
      <c r="H12" s="3" t="s">
        <v>382</v>
      </c>
      <c r="I12" s="3" t="s">
        <v>335</v>
      </c>
      <c r="J12" s="3">
        <v>3</v>
      </c>
      <c r="K12" s="3" t="s">
        <v>335</v>
      </c>
      <c r="L12" s="3" t="s">
        <v>336</v>
      </c>
      <c r="M12" s="3" t="s">
        <v>383</v>
      </c>
      <c r="N12" s="3" t="s">
        <v>354</v>
      </c>
      <c r="O12" s="3" t="s">
        <v>356</v>
      </c>
      <c r="P12" s="3" t="s">
        <v>339</v>
      </c>
      <c r="Q12" s="3" t="s">
        <v>347</v>
      </c>
      <c r="R12" s="3" t="s">
        <v>357</v>
      </c>
      <c r="S12" s="3" t="s">
        <v>342</v>
      </c>
      <c r="T12" s="3" t="s">
        <v>348</v>
      </c>
      <c r="U12" s="3" t="s">
        <v>361</v>
      </c>
      <c r="V12" s="3" t="s">
        <v>348</v>
      </c>
      <c r="W12" s="3" t="s">
        <v>377</v>
      </c>
    </row>
    <row r="13" spans="1:23" ht="24.75" customHeight="1" x14ac:dyDescent="0.35">
      <c r="A13" s="3" t="s">
        <v>85</v>
      </c>
      <c r="B13" s="3" t="s">
        <v>86</v>
      </c>
      <c r="C13" s="3" t="s">
        <v>42</v>
      </c>
      <c r="D13" s="3" t="s">
        <v>49</v>
      </c>
      <c r="E13" s="3" t="s">
        <v>27</v>
      </c>
      <c r="F13" s="3" t="s">
        <v>28</v>
      </c>
      <c r="G13" s="3" t="s">
        <v>333</v>
      </c>
      <c r="H13" s="3" t="s">
        <v>384</v>
      </c>
      <c r="I13" s="3" t="s">
        <v>335</v>
      </c>
      <c r="J13" s="3">
        <v>2</v>
      </c>
      <c r="K13" s="3" t="s">
        <v>353</v>
      </c>
      <c r="L13" s="3" t="s">
        <v>336</v>
      </c>
      <c r="M13" s="3" t="s">
        <v>385</v>
      </c>
      <c r="N13" s="3" t="s">
        <v>336</v>
      </c>
      <c r="O13" s="3" t="s">
        <v>356</v>
      </c>
      <c r="P13" s="3" t="s">
        <v>339</v>
      </c>
      <c r="Q13" s="3" t="s">
        <v>347</v>
      </c>
      <c r="R13" s="3" t="s">
        <v>341</v>
      </c>
      <c r="S13" s="3" t="s">
        <v>342</v>
      </c>
      <c r="T13" s="3" t="s">
        <v>348</v>
      </c>
      <c r="U13" s="3" t="s">
        <v>361</v>
      </c>
      <c r="V13" s="3" t="s">
        <v>348</v>
      </c>
      <c r="W13" s="3" t="s">
        <v>358</v>
      </c>
    </row>
    <row r="14" spans="1:23" ht="24.75" customHeight="1" x14ac:dyDescent="0.35">
      <c r="A14" s="3" t="s">
        <v>87</v>
      </c>
      <c r="B14" s="3" t="s">
        <v>88</v>
      </c>
      <c r="C14" s="3" t="s">
        <v>42</v>
      </c>
      <c r="D14" s="3" t="s">
        <v>26</v>
      </c>
      <c r="E14" s="3" t="s">
        <v>27</v>
      </c>
      <c r="F14" s="3" t="s">
        <v>66</v>
      </c>
      <c r="G14" s="3" t="s">
        <v>333</v>
      </c>
      <c r="H14" s="3" t="s">
        <v>386</v>
      </c>
      <c r="I14" s="3" t="s">
        <v>335</v>
      </c>
      <c r="J14" s="3">
        <v>3</v>
      </c>
      <c r="K14" s="3" t="s">
        <v>335</v>
      </c>
      <c r="L14" s="3" t="s">
        <v>336</v>
      </c>
      <c r="M14" s="3" t="s">
        <v>387</v>
      </c>
      <c r="N14" s="3" t="s">
        <v>336</v>
      </c>
      <c r="O14" s="3" t="s">
        <v>356</v>
      </c>
      <c r="P14" s="3" t="s">
        <v>388</v>
      </c>
      <c r="Q14" s="3" t="s">
        <v>340</v>
      </c>
      <c r="R14" s="3" t="s">
        <v>341</v>
      </c>
      <c r="S14" s="3" t="s">
        <v>342</v>
      </c>
      <c r="T14" s="3" t="s">
        <v>342</v>
      </c>
      <c r="U14" s="3" t="s">
        <v>361</v>
      </c>
      <c r="V14" s="3" t="s">
        <v>348</v>
      </c>
      <c r="W14" s="3" t="s">
        <v>362</v>
      </c>
    </row>
    <row r="15" spans="1:23" ht="24.75" customHeight="1" x14ac:dyDescent="0.35">
      <c r="A15" s="3" t="s">
        <v>90</v>
      </c>
      <c r="B15" s="3" t="s">
        <v>91</v>
      </c>
      <c r="C15" s="3" t="s">
        <v>42</v>
      </c>
      <c r="D15" s="3" t="s">
        <v>49</v>
      </c>
      <c r="E15" s="3" t="s">
        <v>27</v>
      </c>
      <c r="F15" s="3" t="s">
        <v>66</v>
      </c>
      <c r="G15" s="3" t="s">
        <v>333</v>
      </c>
      <c r="H15" s="3" t="s">
        <v>389</v>
      </c>
      <c r="I15" s="3" t="s">
        <v>353</v>
      </c>
      <c r="J15" s="3">
        <v>3</v>
      </c>
      <c r="K15" s="3" t="s">
        <v>353</v>
      </c>
      <c r="L15" s="3" t="s">
        <v>336</v>
      </c>
      <c r="M15" s="3" t="s">
        <v>337</v>
      </c>
      <c r="N15" s="3" t="s">
        <v>333</v>
      </c>
      <c r="O15" s="3" t="s">
        <v>356</v>
      </c>
      <c r="P15" s="3" t="s">
        <v>360</v>
      </c>
      <c r="Q15" s="3" t="s">
        <v>347</v>
      </c>
      <c r="R15" s="3" t="s">
        <v>357</v>
      </c>
      <c r="S15" s="3" t="s">
        <v>342</v>
      </c>
      <c r="T15" s="3" t="s">
        <v>342</v>
      </c>
      <c r="U15" s="3" t="s">
        <v>361</v>
      </c>
      <c r="V15" s="3" t="s">
        <v>348</v>
      </c>
      <c r="W15" s="3" t="s">
        <v>390</v>
      </c>
    </row>
    <row r="16" spans="1:23" ht="24.75" customHeight="1" x14ac:dyDescent="0.35">
      <c r="A16" s="3" t="s">
        <v>92</v>
      </c>
      <c r="B16" s="3" t="s">
        <v>93</v>
      </c>
      <c r="C16" s="3" t="s">
        <v>42</v>
      </c>
      <c r="D16" s="3" t="s">
        <v>49</v>
      </c>
      <c r="E16" s="3" t="s">
        <v>27</v>
      </c>
      <c r="F16" s="3" t="s">
        <v>66</v>
      </c>
      <c r="G16" s="3" t="s">
        <v>333</v>
      </c>
      <c r="H16" s="3" t="s">
        <v>334</v>
      </c>
      <c r="I16" s="3" t="s">
        <v>353</v>
      </c>
      <c r="J16" s="3">
        <v>3</v>
      </c>
      <c r="K16" s="3" t="s">
        <v>353</v>
      </c>
      <c r="L16" s="3" t="s">
        <v>336</v>
      </c>
      <c r="M16" s="3" t="s">
        <v>379</v>
      </c>
      <c r="N16" s="3" t="s">
        <v>333</v>
      </c>
      <c r="O16" s="3" t="s">
        <v>356</v>
      </c>
      <c r="P16" s="3" t="s">
        <v>360</v>
      </c>
      <c r="Q16" s="3" t="s">
        <v>347</v>
      </c>
      <c r="R16" s="3" t="s">
        <v>357</v>
      </c>
      <c r="S16" s="3" t="s">
        <v>342</v>
      </c>
      <c r="T16" s="3" t="s">
        <v>342</v>
      </c>
      <c r="U16" s="3" t="s">
        <v>361</v>
      </c>
      <c r="V16" s="3" t="s">
        <v>342</v>
      </c>
      <c r="W16" s="3" t="s">
        <v>391</v>
      </c>
    </row>
    <row r="17" spans="1:23" ht="24.75" customHeight="1" x14ac:dyDescent="0.35">
      <c r="A17" s="3" t="s">
        <v>94</v>
      </c>
      <c r="B17" s="3" t="s">
        <v>95</v>
      </c>
      <c r="C17" s="3" t="s">
        <v>42</v>
      </c>
      <c r="D17" s="3" t="s">
        <v>49</v>
      </c>
      <c r="E17" s="3" t="s">
        <v>27</v>
      </c>
      <c r="F17" s="3" t="s">
        <v>62</v>
      </c>
      <c r="G17" s="3" t="s">
        <v>333</v>
      </c>
      <c r="H17" s="3" t="s">
        <v>384</v>
      </c>
      <c r="I17" s="3" t="s">
        <v>335</v>
      </c>
      <c r="J17" s="3">
        <v>1</v>
      </c>
      <c r="K17" s="3" t="s">
        <v>335</v>
      </c>
      <c r="L17" s="3" t="s">
        <v>336</v>
      </c>
      <c r="M17" s="3" t="s">
        <v>366</v>
      </c>
      <c r="N17" s="3" t="s">
        <v>333</v>
      </c>
      <c r="O17" s="3" t="s">
        <v>338</v>
      </c>
      <c r="P17" s="3" t="s">
        <v>339</v>
      </c>
      <c r="Q17" s="3" t="s">
        <v>340</v>
      </c>
      <c r="R17" s="3" t="s">
        <v>341</v>
      </c>
      <c r="S17" s="3" t="s">
        <v>342</v>
      </c>
      <c r="T17" s="3" t="s">
        <v>348</v>
      </c>
      <c r="U17" s="3" t="s">
        <v>361</v>
      </c>
      <c r="V17" s="3" t="s">
        <v>342</v>
      </c>
      <c r="W17" s="3" t="s">
        <v>392</v>
      </c>
    </row>
    <row r="18" spans="1:23" ht="24.75" customHeight="1" x14ac:dyDescent="0.35">
      <c r="A18" s="3" t="s">
        <v>96</v>
      </c>
      <c r="B18" s="3" t="s">
        <v>97</v>
      </c>
      <c r="C18" s="3" t="s">
        <v>351</v>
      </c>
      <c r="D18" s="3" t="s">
        <v>76</v>
      </c>
      <c r="E18" s="3" t="s">
        <v>364</v>
      </c>
      <c r="F18" s="3" t="s">
        <v>62</v>
      </c>
      <c r="G18" s="3" t="s">
        <v>333</v>
      </c>
      <c r="H18" s="3" t="s">
        <v>384</v>
      </c>
      <c r="I18" s="3" t="s">
        <v>335</v>
      </c>
      <c r="J18" s="3">
        <v>2</v>
      </c>
      <c r="K18" s="3" t="s">
        <v>335</v>
      </c>
      <c r="L18" s="3" t="s">
        <v>336</v>
      </c>
      <c r="M18" s="3" t="s">
        <v>393</v>
      </c>
      <c r="N18" s="3" t="s">
        <v>333</v>
      </c>
      <c r="O18" s="3" t="s">
        <v>356</v>
      </c>
      <c r="P18" s="3" t="s">
        <v>339</v>
      </c>
      <c r="Q18" s="3" t="s">
        <v>340</v>
      </c>
      <c r="R18" s="3" t="s">
        <v>341</v>
      </c>
      <c r="S18" s="3" t="s">
        <v>342</v>
      </c>
      <c r="T18" s="3" t="s">
        <v>348</v>
      </c>
      <c r="U18" s="3" t="s">
        <v>349</v>
      </c>
      <c r="V18" s="3" t="s">
        <v>348</v>
      </c>
      <c r="W18" s="3" t="s">
        <v>362</v>
      </c>
    </row>
    <row r="19" spans="1:23" ht="24.75" customHeight="1" x14ac:dyDescent="0.35">
      <c r="A19" s="3" t="s">
        <v>98</v>
      </c>
      <c r="B19" s="3" t="s">
        <v>99</v>
      </c>
      <c r="C19" s="3" t="s">
        <v>42</v>
      </c>
      <c r="D19" s="3" t="s">
        <v>100</v>
      </c>
      <c r="E19" s="3" t="s">
        <v>27</v>
      </c>
      <c r="F19" s="3" t="s">
        <v>28</v>
      </c>
      <c r="G19" s="3" t="s">
        <v>333</v>
      </c>
      <c r="H19" s="3" t="s">
        <v>389</v>
      </c>
      <c r="I19" s="3" t="s">
        <v>353</v>
      </c>
      <c r="J19" s="3">
        <v>3</v>
      </c>
      <c r="K19" s="3" t="s">
        <v>353</v>
      </c>
      <c r="L19" s="3" t="s">
        <v>354</v>
      </c>
      <c r="M19" s="3" t="s">
        <v>337</v>
      </c>
      <c r="N19" s="3" t="s">
        <v>354</v>
      </c>
      <c r="O19" s="3" t="s">
        <v>356</v>
      </c>
      <c r="P19" s="3" t="s">
        <v>339</v>
      </c>
      <c r="Q19" s="3" t="s">
        <v>347</v>
      </c>
      <c r="R19" s="3" t="s">
        <v>394</v>
      </c>
      <c r="S19" s="3" t="s">
        <v>342</v>
      </c>
      <c r="T19" s="3" t="s">
        <v>348</v>
      </c>
      <c r="U19" s="3" t="s">
        <v>361</v>
      </c>
      <c r="V19" s="3" t="s">
        <v>348</v>
      </c>
      <c r="W19" s="3" t="s">
        <v>377</v>
      </c>
    </row>
    <row r="20" spans="1:23" ht="24.75" customHeight="1" x14ac:dyDescent="0.35">
      <c r="A20" s="3" t="s">
        <v>102</v>
      </c>
      <c r="B20" s="3" t="s">
        <v>103</v>
      </c>
      <c r="C20" s="3" t="s">
        <v>25</v>
      </c>
      <c r="D20" s="3" t="s">
        <v>26</v>
      </c>
      <c r="E20" s="3" t="s">
        <v>27</v>
      </c>
      <c r="F20" s="3" t="s">
        <v>28</v>
      </c>
      <c r="G20" s="3" t="s">
        <v>333</v>
      </c>
      <c r="H20" s="3" t="s">
        <v>345</v>
      </c>
      <c r="I20" s="3" t="s">
        <v>353</v>
      </c>
      <c r="J20" s="3">
        <v>3</v>
      </c>
      <c r="K20" s="3" t="s">
        <v>353</v>
      </c>
      <c r="L20" s="3" t="s">
        <v>336</v>
      </c>
      <c r="M20" s="3" t="s">
        <v>395</v>
      </c>
      <c r="N20" s="3" t="s">
        <v>333</v>
      </c>
      <c r="O20" s="3" t="s">
        <v>359</v>
      </c>
      <c r="P20" s="3" t="s">
        <v>339</v>
      </c>
      <c r="Q20" s="3" t="s">
        <v>347</v>
      </c>
      <c r="R20" s="3" t="s">
        <v>341</v>
      </c>
      <c r="S20" s="3" t="s">
        <v>342</v>
      </c>
      <c r="T20" s="3" t="s">
        <v>342</v>
      </c>
      <c r="U20" s="3" t="s">
        <v>361</v>
      </c>
      <c r="V20" s="3" t="s">
        <v>348</v>
      </c>
      <c r="W20" s="3" t="s">
        <v>390</v>
      </c>
    </row>
    <row r="21" spans="1:23" ht="24.75" customHeight="1" x14ac:dyDescent="0.35">
      <c r="A21" s="3" t="s">
        <v>104</v>
      </c>
      <c r="B21" s="3" t="s">
        <v>105</v>
      </c>
      <c r="C21" s="3" t="s">
        <v>396</v>
      </c>
      <c r="D21" s="3" t="s">
        <v>26</v>
      </c>
      <c r="E21" s="3" t="s">
        <v>27</v>
      </c>
      <c r="F21" s="3" t="s">
        <v>28</v>
      </c>
      <c r="G21" s="3" t="s">
        <v>333</v>
      </c>
      <c r="H21" s="3" t="s">
        <v>334</v>
      </c>
      <c r="I21" s="3" t="s">
        <v>346</v>
      </c>
      <c r="J21" s="3">
        <v>2</v>
      </c>
      <c r="K21" s="3" t="s">
        <v>335</v>
      </c>
      <c r="L21" s="3" t="s">
        <v>336</v>
      </c>
      <c r="M21" s="3" t="s">
        <v>379</v>
      </c>
      <c r="N21" s="3" t="s">
        <v>336</v>
      </c>
      <c r="O21" s="3" t="s">
        <v>359</v>
      </c>
      <c r="P21" s="3" t="s">
        <v>360</v>
      </c>
      <c r="Q21" s="3" t="s">
        <v>340</v>
      </c>
      <c r="R21" s="3" t="s">
        <v>394</v>
      </c>
      <c r="S21" s="3" t="s">
        <v>342</v>
      </c>
      <c r="T21" s="3" t="s">
        <v>342</v>
      </c>
      <c r="U21" s="3" t="s">
        <v>343</v>
      </c>
      <c r="V21" s="3" t="s">
        <v>348</v>
      </c>
      <c r="W21" s="3" t="s">
        <v>358</v>
      </c>
    </row>
    <row r="22" spans="1:23" ht="24.75" customHeight="1" x14ac:dyDescent="0.35">
      <c r="A22" s="3" t="s">
        <v>107</v>
      </c>
      <c r="B22" s="3" t="s">
        <v>108</v>
      </c>
      <c r="C22" s="3" t="s">
        <v>42</v>
      </c>
      <c r="D22" s="3" t="s">
        <v>109</v>
      </c>
      <c r="E22" s="3" t="s">
        <v>27</v>
      </c>
      <c r="F22" s="3" t="s">
        <v>66</v>
      </c>
      <c r="G22" s="3" t="s">
        <v>333</v>
      </c>
      <c r="H22" s="3" t="s">
        <v>397</v>
      </c>
      <c r="I22" s="3" t="s">
        <v>335</v>
      </c>
      <c r="J22" s="3">
        <v>2</v>
      </c>
      <c r="K22" s="3" t="s">
        <v>335</v>
      </c>
      <c r="L22" s="3" t="s">
        <v>354</v>
      </c>
      <c r="M22" s="3" t="s">
        <v>398</v>
      </c>
      <c r="N22" s="3" t="s">
        <v>333</v>
      </c>
      <c r="O22" s="3" t="s">
        <v>356</v>
      </c>
      <c r="P22" s="3" t="s">
        <v>360</v>
      </c>
      <c r="Q22" s="3" t="s">
        <v>347</v>
      </c>
      <c r="R22" s="3" t="s">
        <v>394</v>
      </c>
      <c r="S22" s="3" t="s">
        <v>342</v>
      </c>
      <c r="T22" s="3" t="s">
        <v>342</v>
      </c>
      <c r="U22" s="3" t="s">
        <v>361</v>
      </c>
      <c r="V22" s="3" t="s">
        <v>342</v>
      </c>
      <c r="W22" s="3" t="s">
        <v>377</v>
      </c>
    </row>
    <row r="23" spans="1:23" ht="24.75" customHeight="1" x14ac:dyDescent="0.35">
      <c r="A23" s="3" t="s">
        <v>111</v>
      </c>
      <c r="B23" s="3" t="s">
        <v>112</v>
      </c>
      <c r="C23" s="3" t="s">
        <v>42</v>
      </c>
      <c r="D23" s="3" t="s">
        <v>49</v>
      </c>
      <c r="E23" s="3" t="s">
        <v>27</v>
      </c>
      <c r="F23" s="3" t="s">
        <v>28</v>
      </c>
      <c r="G23" s="3" t="s">
        <v>333</v>
      </c>
      <c r="H23" s="3" t="s">
        <v>399</v>
      </c>
      <c r="I23" s="3" t="s">
        <v>335</v>
      </c>
      <c r="J23" s="3">
        <v>2</v>
      </c>
      <c r="K23" s="3" t="s">
        <v>335</v>
      </c>
      <c r="L23" s="3" t="s">
        <v>336</v>
      </c>
      <c r="M23" s="3" t="s">
        <v>337</v>
      </c>
      <c r="N23" s="3" t="s">
        <v>336</v>
      </c>
      <c r="O23" s="3" t="s">
        <v>356</v>
      </c>
      <c r="P23" s="3" t="s">
        <v>339</v>
      </c>
      <c r="Q23" s="3" t="s">
        <v>347</v>
      </c>
      <c r="R23" s="3" t="s">
        <v>341</v>
      </c>
      <c r="S23" s="3" t="s">
        <v>342</v>
      </c>
      <c r="T23" s="3" t="s">
        <v>342</v>
      </c>
      <c r="U23" s="3" t="s">
        <v>361</v>
      </c>
      <c r="V23" s="3" t="s">
        <v>342</v>
      </c>
      <c r="W23" s="3" t="s">
        <v>371</v>
      </c>
    </row>
    <row r="24" spans="1:23" ht="24.75" customHeight="1" x14ac:dyDescent="0.35">
      <c r="A24" s="3" t="s">
        <v>113</v>
      </c>
      <c r="B24" s="3" t="s">
        <v>114</v>
      </c>
      <c r="C24" s="3" t="s">
        <v>42</v>
      </c>
      <c r="D24" s="3" t="s">
        <v>49</v>
      </c>
      <c r="E24" s="3" t="s">
        <v>27</v>
      </c>
      <c r="F24" s="3" t="s">
        <v>28</v>
      </c>
      <c r="G24" s="3" t="s">
        <v>333</v>
      </c>
      <c r="H24" s="3" t="s">
        <v>334</v>
      </c>
      <c r="I24" s="3" t="s">
        <v>353</v>
      </c>
      <c r="J24" s="3">
        <v>4</v>
      </c>
      <c r="K24" s="3" t="s">
        <v>353</v>
      </c>
      <c r="L24" s="3" t="s">
        <v>336</v>
      </c>
      <c r="M24" s="3" t="s">
        <v>337</v>
      </c>
      <c r="N24" s="3" t="s">
        <v>336</v>
      </c>
      <c r="O24" s="3" t="s">
        <v>359</v>
      </c>
      <c r="P24" s="3" t="s">
        <v>360</v>
      </c>
      <c r="Q24" s="3" t="s">
        <v>347</v>
      </c>
      <c r="R24" s="3" t="s">
        <v>357</v>
      </c>
      <c r="S24" s="3" t="s">
        <v>342</v>
      </c>
      <c r="T24" s="3" t="s">
        <v>342</v>
      </c>
      <c r="U24" s="3" t="s">
        <v>361</v>
      </c>
      <c r="V24" s="3" t="s">
        <v>342</v>
      </c>
      <c r="W24" s="3" t="s">
        <v>362</v>
      </c>
    </row>
    <row r="25" spans="1:23" ht="24.75" customHeight="1" x14ac:dyDescent="0.35">
      <c r="A25" s="3" t="s">
        <v>115</v>
      </c>
      <c r="B25" s="3" t="s">
        <v>116</v>
      </c>
      <c r="C25" s="3" t="s">
        <v>351</v>
      </c>
      <c r="D25" s="3" t="s">
        <v>26</v>
      </c>
      <c r="E25" s="3" t="s">
        <v>27</v>
      </c>
      <c r="F25" s="3" t="s">
        <v>28</v>
      </c>
      <c r="G25" s="3" t="s">
        <v>333</v>
      </c>
      <c r="H25" s="3" t="s">
        <v>400</v>
      </c>
      <c r="I25" s="3" t="s">
        <v>346</v>
      </c>
      <c r="J25" s="3">
        <v>2</v>
      </c>
      <c r="K25" s="3" t="s">
        <v>346</v>
      </c>
      <c r="L25" s="3" t="s">
        <v>368</v>
      </c>
      <c r="M25" s="3" t="s">
        <v>366</v>
      </c>
      <c r="N25" s="3" t="s">
        <v>333</v>
      </c>
      <c r="O25" s="3" t="s">
        <v>338</v>
      </c>
      <c r="P25" s="3" t="s">
        <v>339</v>
      </c>
      <c r="Q25" s="3" t="s">
        <v>401</v>
      </c>
      <c r="R25" s="3" t="s">
        <v>341</v>
      </c>
      <c r="S25" s="3" t="s">
        <v>342</v>
      </c>
      <c r="T25" s="3" t="s">
        <v>342</v>
      </c>
      <c r="U25" s="3" t="s">
        <v>343</v>
      </c>
      <c r="V25" s="3" t="s">
        <v>342</v>
      </c>
      <c r="W25" s="3" t="s">
        <v>362</v>
      </c>
    </row>
    <row r="26" spans="1:23" ht="24.75" customHeight="1" x14ac:dyDescent="0.35">
      <c r="A26" s="3" t="s">
        <v>117</v>
      </c>
      <c r="B26" s="3" t="s">
        <v>118</v>
      </c>
      <c r="C26" s="3" t="s">
        <v>42</v>
      </c>
      <c r="D26" s="3" t="s">
        <v>26</v>
      </c>
      <c r="E26" s="3" t="s">
        <v>27</v>
      </c>
      <c r="F26" s="3" t="s">
        <v>66</v>
      </c>
      <c r="G26" s="3" t="s">
        <v>333</v>
      </c>
      <c r="H26" s="3" t="s">
        <v>367</v>
      </c>
      <c r="I26" s="3" t="s">
        <v>381</v>
      </c>
      <c r="J26" s="3">
        <v>3</v>
      </c>
      <c r="K26" s="3" t="s">
        <v>381</v>
      </c>
      <c r="L26" s="3" t="s">
        <v>336</v>
      </c>
      <c r="M26" s="3" t="s">
        <v>337</v>
      </c>
      <c r="N26" s="3" t="s">
        <v>336</v>
      </c>
      <c r="O26" s="3" t="s">
        <v>338</v>
      </c>
      <c r="P26" s="3" t="s">
        <v>360</v>
      </c>
      <c r="Q26" s="3" t="s">
        <v>347</v>
      </c>
      <c r="R26" s="3" t="s">
        <v>357</v>
      </c>
      <c r="S26" s="3" t="s">
        <v>342</v>
      </c>
      <c r="T26" s="3" t="s">
        <v>342</v>
      </c>
      <c r="U26" s="3" t="s">
        <v>343</v>
      </c>
      <c r="V26" s="3" t="s">
        <v>342</v>
      </c>
      <c r="W26" s="3" t="s">
        <v>391</v>
      </c>
    </row>
    <row r="27" spans="1:23" ht="24.75" customHeight="1" x14ac:dyDescent="0.35">
      <c r="A27" s="3" t="s">
        <v>119</v>
      </c>
      <c r="B27" s="3" t="s">
        <v>120</v>
      </c>
      <c r="C27" s="3" t="s">
        <v>351</v>
      </c>
      <c r="D27" s="3" t="s">
        <v>26</v>
      </c>
      <c r="E27" s="3" t="s">
        <v>50</v>
      </c>
      <c r="F27" s="3" t="s">
        <v>28</v>
      </c>
      <c r="G27" s="3" t="s">
        <v>333</v>
      </c>
      <c r="H27" s="3" t="s">
        <v>402</v>
      </c>
      <c r="I27" s="3" t="s">
        <v>335</v>
      </c>
      <c r="J27" s="3">
        <v>2</v>
      </c>
      <c r="K27" s="3" t="s">
        <v>335</v>
      </c>
      <c r="L27" s="3" t="s">
        <v>336</v>
      </c>
      <c r="M27" s="3" t="s">
        <v>337</v>
      </c>
      <c r="N27" s="3" t="s">
        <v>333</v>
      </c>
      <c r="O27" s="3" t="s">
        <v>338</v>
      </c>
      <c r="P27" s="3" t="s">
        <v>339</v>
      </c>
      <c r="Q27" s="3" t="s">
        <v>340</v>
      </c>
      <c r="R27" s="3" t="s">
        <v>341</v>
      </c>
      <c r="S27" s="3" t="s">
        <v>342</v>
      </c>
      <c r="T27" s="3" t="s">
        <v>342</v>
      </c>
      <c r="U27" s="3" t="s">
        <v>361</v>
      </c>
      <c r="V27" s="3" t="s">
        <v>342</v>
      </c>
      <c r="W27" s="3" t="s">
        <v>377</v>
      </c>
    </row>
    <row r="28" spans="1:23" ht="24.75" customHeight="1" x14ac:dyDescent="0.35">
      <c r="A28" s="3" t="s">
        <v>122</v>
      </c>
      <c r="B28" s="3" t="s">
        <v>123</v>
      </c>
      <c r="C28" s="3" t="s">
        <v>351</v>
      </c>
      <c r="D28" s="3" t="s">
        <v>49</v>
      </c>
      <c r="E28" s="3" t="s">
        <v>50</v>
      </c>
      <c r="F28" s="3" t="s">
        <v>28</v>
      </c>
      <c r="G28" s="3" t="s">
        <v>333</v>
      </c>
      <c r="H28" s="3" t="s">
        <v>399</v>
      </c>
      <c r="I28" s="3" t="s">
        <v>381</v>
      </c>
      <c r="J28" s="3">
        <v>3</v>
      </c>
      <c r="K28" s="3" t="s">
        <v>381</v>
      </c>
      <c r="L28" s="3" t="s">
        <v>336</v>
      </c>
      <c r="M28" s="3" t="s">
        <v>395</v>
      </c>
      <c r="N28" s="3" t="s">
        <v>336</v>
      </c>
      <c r="O28" s="3" t="s">
        <v>356</v>
      </c>
      <c r="P28" s="3" t="s">
        <v>339</v>
      </c>
      <c r="Q28" s="3" t="s">
        <v>370</v>
      </c>
      <c r="R28" s="3" t="s">
        <v>357</v>
      </c>
      <c r="S28" s="3" t="s">
        <v>342</v>
      </c>
      <c r="T28" s="3" t="s">
        <v>342</v>
      </c>
      <c r="U28" s="3" t="s">
        <v>361</v>
      </c>
      <c r="V28" s="3" t="s">
        <v>342</v>
      </c>
      <c r="W28" s="3" t="s">
        <v>362</v>
      </c>
    </row>
    <row r="29" spans="1:23" ht="24.75" customHeight="1" x14ac:dyDescent="0.35">
      <c r="A29" s="3" t="s">
        <v>124</v>
      </c>
      <c r="B29" s="3" t="s">
        <v>125</v>
      </c>
      <c r="C29" s="3" t="s">
        <v>25</v>
      </c>
      <c r="D29" s="3" t="s">
        <v>126</v>
      </c>
      <c r="E29" s="3" t="s">
        <v>27</v>
      </c>
      <c r="F29" s="3" t="s">
        <v>28</v>
      </c>
      <c r="G29" s="3" t="s">
        <v>336</v>
      </c>
      <c r="H29" s="3" t="s">
        <v>403</v>
      </c>
      <c r="I29" s="3" t="s">
        <v>353</v>
      </c>
      <c r="J29" s="3">
        <v>3</v>
      </c>
      <c r="K29" s="3" t="s">
        <v>335</v>
      </c>
      <c r="L29" s="3" t="s">
        <v>354</v>
      </c>
      <c r="M29" s="3" t="s">
        <v>376</v>
      </c>
      <c r="N29" s="3" t="s">
        <v>333</v>
      </c>
      <c r="O29" s="3" t="s">
        <v>359</v>
      </c>
      <c r="P29" s="3" t="s">
        <v>339</v>
      </c>
      <c r="Q29" s="3" t="s">
        <v>340</v>
      </c>
      <c r="R29" s="3" t="s">
        <v>394</v>
      </c>
      <c r="S29" s="3" t="s">
        <v>348</v>
      </c>
      <c r="T29" s="3" t="s">
        <v>348</v>
      </c>
      <c r="U29" s="3" t="s">
        <v>361</v>
      </c>
      <c r="V29" s="3" t="s">
        <v>348</v>
      </c>
      <c r="W29" s="3" t="s">
        <v>404</v>
      </c>
    </row>
    <row r="30" spans="1:23" ht="24.75" customHeight="1" x14ac:dyDescent="0.35">
      <c r="A30" s="3" t="s">
        <v>128</v>
      </c>
      <c r="B30" s="3" t="s">
        <v>129</v>
      </c>
      <c r="C30" s="3" t="s">
        <v>25</v>
      </c>
      <c r="D30" s="3" t="s">
        <v>26</v>
      </c>
      <c r="E30" s="3" t="s">
        <v>50</v>
      </c>
      <c r="F30" s="3" t="s">
        <v>66</v>
      </c>
      <c r="G30" s="3" t="s">
        <v>333</v>
      </c>
      <c r="H30" s="3" t="s">
        <v>384</v>
      </c>
      <c r="I30" s="3" t="s">
        <v>353</v>
      </c>
      <c r="J30" s="3">
        <v>2</v>
      </c>
      <c r="K30" s="3" t="s">
        <v>353</v>
      </c>
      <c r="L30" s="3" t="s">
        <v>336</v>
      </c>
      <c r="M30" s="3" t="s">
        <v>366</v>
      </c>
      <c r="N30" s="3" t="s">
        <v>336</v>
      </c>
      <c r="O30" s="3" t="s">
        <v>359</v>
      </c>
      <c r="P30" s="3" t="s">
        <v>339</v>
      </c>
      <c r="Q30" s="3" t="s">
        <v>347</v>
      </c>
      <c r="R30" s="3" t="s">
        <v>341</v>
      </c>
      <c r="S30" s="3" t="s">
        <v>342</v>
      </c>
      <c r="T30" s="3" t="s">
        <v>342</v>
      </c>
      <c r="U30" s="3" t="s">
        <v>343</v>
      </c>
      <c r="V30" s="3" t="s">
        <v>342</v>
      </c>
      <c r="W30" s="3" t="s">
        <v>362</v>
      </c>
    </row>
    <row r="31" spans="1:23" ht="24.75" customHeight="1" x14ac:dyDescent="0.35">
      <c r="A31" s="3" t="s">
        <v>130</v>
      </c>
      <c r="B31" s="3" t="s">
        <v>131</v>
      </c>
      <c r="C31" s="3" t="s">
        <v>42</v>
      </c>
      <c r="D31" s="3" t="s">
        <v>49</v>
      </c>
      <c r="E31" s="3" t="s">
        <v>27</v>
      </c>
      <c r="F31" s="3" t="s">
        <v>62</v>
      </c>
      <c r="G31" s="3" t="s">
        <v>333</v>
      </c>
      <c r="H31" s="3" t="s">
        <v>403</v>
      </c>
      <c r="I31" s="3" t="s">
        <v>346</v>
      </c>
      <c r="J31" s="3">
        <v>1</v>
      </c>
      <c r="K31" s="3" t="s">
        <v>346</v>
      </c>
      <c r="L31" s="3" t="s">
        <v>368</v>
      </c>
      <c r="M31" s="3" t="s">
        <v>337</v>
      </c>
      <c r="N31" s="3" t="s">
        <v>333</v>
      </c>
      <c r="O31" s="3" t="s">
        <v>356</v>
      </c>
      <c r="P31" s="3" t="s">
        <v>339</v>
      </c>
      <c r="Q31" s="3" t="s">
        <v>401</v>
      </c>
      <c r="R31" s="3" t="s">
        <v>341</v>
      </c>
      <c r="S31" s="3" t="s">
        <v>342</v>
      </c>
      <c r="T31" s="3" t="s">
        <v>342</v>
      </c>
      <c r="U31" s="3" t="s">
        <v>361</v>
      </c>
      <c r="V31" s="3" t="s">
        <v>342</v>
      </c>
      <c r="W31" s="3" t="s">
        <v>404</v>
      </c>
    </row>
    <row r="32" spans="1:23" ht="24.75" customHeight="1" x14ac:dyDescent="0.35">
      <c r="A32" s="3" t="s">
        <v>132</v>
      </c>
      <c r="B32" s="3" t="s">
        <v>133</v>
      </c>
      <c r="C32" s="3" t="s">
        <v>42</v>
      </c>
      <c r="D32" s="3" t="s">
        <v>134</v>
      </c>
      <c r="E32" s="3" t="s">
        <v>27</v>
      </c>
      <c r="F32" s="3" t="s">
        <v>62</v>
      </c>
      <c r="G32" s="3" t="s">
        <v>333</v>
      </c>
      <c r="H32" s="3" t="s">
        <v>400</v>
      </c>
      <c r="I32" s="3" t="s">
        <v>353</v>
      </c>
      <c r="J32" s="3">
        <v>3</v>
      </c>
      <c r="K32" s="3" t="s">
        <v>353</v>
      </c>
      <c r="L32" s="3" t="s">
        <v>354</v>
      </c>
      <c r="M32" s="3" t="s">
        <v>405</v>
      </c>
      <c r="N32" s="3" t="s">
        <v>354</v>
      </c>
      <c r="O32" s="3" t="s">
        <v>356</v>
      </c>
      <c r="P32" s="3" t="s">
        <v>406</v>
      </c>
      <c r="Q32" s="3" t="s">
        <v>347</v>
      </c>
      <c r="R32" s="3" t="s">
        <v>394</v>
      </c>
      <c r="S32" s="3" t="s">
        <v>342</v>
      </c>
      <c r="T32" s="3" t="s">
        <v>348</v>
      </c>
      <c r="U32" s="3" t="s">
        <v>374</v>
      </c>
      <c r="V32" s="3" t="s">
        <v>348</v>
      </c>
      <c r="W32" s="3" t="s">
        <v>371</v>
      </c>
    </row>
    <row r="33" spans="1:23" ht="24.75" customHeight="1" x14ac:dyDescent="0.35">
      <c r="A33" s="3" t="s">
        <v>136</v>
      </c>
      <c r="B33" s="3" t="s">
        <v>137</v>
      </c>
      <c r="C33" s="3" t="s">
        <v>42</v>
      </c>
      <c r="D33" s="3" t="s">
        <v>109</v>
      </c>
      <c r="E33" s="3" t="s">
        <v>27</v>
      </c>
      <c r="F33" s="3" t="s">
        <v>28</v>
      </c>
      <c r="G33" s="3" t="s">
        <v>333</v>
      </c>
      <c r="H33" s="3" t="s">
        <v>407</v>
      </c>
      <c r="I33" s="3" t="s">
        <v>346</v>
      </c>
      <c r="J33" s="3">
        <v>3</v>
      </c>
      <c r="K33" s="3" t="s">
        <v>381</v>
      </c>
      <c r="L33" s="3" t="s">
        <v>368</v>
      </c>
      <c r="M33" s="3" t="s">
        <v>337</v>
      </c>
      <c r="N33" s="3" t="s">
        <v>333</v>
      </c>
      <c r="O33" s="3" t="s">
        <v>338</v>
      </c>
      <c r="P33" s="3" t="s">
        <v>360</v>
      </c>
      <c r="Q33" s="3" t="s">
        <v>347</v>
      </c>
      <c r="R33" s="3" t="s">
        <v>341</v>
      </c>
      <c r="S33" s="3" t="s">
        <v>342</v>
      </c>
      <c r="T33" s="3" t="s">
        <v>342</v>
      </c>
      <c r="U33" s="3" t="s">
        <v>343</v>
      </c>
      <c r="V33" s="3" t="s">
        <v>342</v>
      </c>
      <c r="W33" s="3" t="s">
        <v>408</v>
      </c>
    </row>
    <row r="34" spans="1:23" ht="24.75" customHeight="1" x14ac:dyDescent="0.35">
      <c r="A34" s="3" t="s">
        <v>139</v>
      </c>
      <c r="B34" s="3" t="s">
        <v>140</v>
      </c>
      <c r="C34" s="3" t="s">
        <v>396</v>
      </c>
      <c r="D34" s="3" t="s">
        <v>65</v>
      </c>
      <c r="E34" s="3" t="s">
        <v>27</v>
      </c>
      <c r="F34" s="3" t="s">
        <v>28</v>
      </c>
      <c r="G34" s="3" t="s">
        <v>333</v>
      </c>
      <c r="H34" s="3" t="s">
        <v>409</v>
      </c>
      <c r="I34" s="3" t="s">
        <v>335</v>
      </c>
      <c r="J34" s="3">
        <v>3</v>
      </c>
      <c r="K34" s="3" t="s">
        <v>335</v>
      </c>
      <c r="L34" s="3" t="s">
        <v>336</v>
      </c>
      <c r="M34" s="3" t="s">
        <v>355</v>
      </c>
      <c r="N34" s="3" t="s">
        <v>333</v>
      </c>
      <c r="O34" s="3" t="s">
        <v>410</v>
      </c>
      <c r="P34" s="3" t="s">
        <v>360</v>
      </c>
      <c r="Q34" s="3" t="s">
        <v>340</v>
      </c>
      <c r="R34" s="3" t="s">
        <v>341</v>
      </c>
      <c r="S34" s="3" t="s">
        <v>342</v>
      </c>
      <c r="T34" s="3" t="s">
        <v>348</v>
      </c>
      <c r="U34" s="3" t="s">
        <v>361</v>
      </c>
      <c r="V34" s="3" t="s">
        <v>342</v>
      </c>
      <c r="W34" s="3" t="s">
        <v>358</v>
      </c>
    </row>
    <row r="35" spans="1:23" ht="24.75" customHeight="1" x14ac:dyDescent="0.35">
      <c r="A35" s="3" t="s">
        <v>142</v>
      </c>
      <c r="B35" s="3" t="s">
        <v>143</v>
      </c>
      <c r="C35" s="3" t="s">
        <v>351</v>
      </c>
      <c r="D35" s="3" t="s">
        <v>26</v>
      </c>
      <c r="E35" s="3" t="s">
        <v>27</v>
      </c>
      <c r="F35" s="3" t="s">
        <v>62</v>
      </c>
      <c r="G35" s="3" t="s">
        <v>333</v>
      </c>
      <c r="H35" s="3" t="s">
        <v>399</v>
      </c>
      <c r="I35" s="3" t="s">
        <v>381</v>
      </c>
      <c r="J35" s="3">
        <v>3</v>
      </c>
      <c r="K35" s="3" t="s">
        <v>353</v>
      </c>
      <c r="L35" s="3" t="s">
        <v>354</v>
      </c>
      <c r="M35" s="3" t="s">
        <v>337</v>
      </c>
      <c r="N35" s="3" t="s">
        <v>354</v>
      </c>
      <c r="O35" s="3" t="s">
        <v>356</v>
      </c>
      <c r="P35" s="3" t="s">
        <v>339</v>
      </c>
      <c r="Q35" s="3" t="s">
        <v>347</v>
      </c>
      <c r="R35" s="3" t="s">
        <v>357</v>
      </c>
      <c r="S35" s="3" t="s">
        <v>342</v>
      </c>
      <c r="T35" s="3" t="s">
        <v>342</v>
      </c>
      <c r="U35" s="3" t="s">
        <v>343</v>
      </c>
      <c r="V35" s="3" t="s">
        <v>342</v>
      </c>
      <c r="W35" s="3" t="s">
        <v>390</v>
      </c>
    </row>
    <row r="36" spans="1:23" ht="24.75" customHeight="1" x14ac:dyDescent="0.35">
      <c r="A36" s="3" t="s">
        <v>144</v>
      </c>
      <c r="B36" s="3" t="s">
        <v>145</v>
      </c>
      <c r="C36" s="3" t="s">
        <v>42</v>
      </c>
      <c r="D36" s="3" t="s">
        <v>26</v>
      </c>
      <c r="E36" s="3" t="s">
        <v>27</v>
      </c>
      <c r="F36" s="3" t="s">
        <v>28</v>
      </c>
      <c r="G36" s="3" t="s">
        <v>333</v>
      </c>
      <c r="H36" s="3" t="s">
        <v>411</v>
      </c>
      <c r="I36" s="3" t="s">
        <v>353</v>
      </c>
      <c r="J36" s="3">
        <v>3</v>
      </c>
      <c r="K36" s="3" t="s">
        <v>335</v>
      </c>
      <c r="L36" s="3" t="s">
        <v>336</v>
      </c>
      <c r="M36" s="3" t="s">
        <v>412</v>
      </c>
      <c r="N36" s="3" t="s">
        <v>336</v>
      </c>
      <c r="O36" s="3" t="s">
        <v>356</v>
      </c>
      <c r="P36" s="3" t="s">
        <v>360</v>
      </c>
      <c r="Q36" s="3" t="s">
        <v>347</v>
      </c>
      <c r="R36" s="3" t="s">
        <v>341</v>
      </c>
      <c r="S36" s="3" t="s">
        <v>342</v>
      </c>
      <c r="T36" s="3" t="s">
        <v>342</v>
      </c>
      <c r="U36" s="3" t="s">
        <v>343</v>
      </c>
      <c r="V36" s="3" t="s">
        <v>342</v>
      </c>
      <c r="W36" s="3" t="s">
        <v>371</v>
      </c>
    </row>
    <row r="37" spans="1:23" ht="24.75" customHeight="1" x14ac:dyDescent="0.35">
      <c r="A37" s="3" t="s">
        <v>147</v>
      </c>
      <c r="B37" s="3" t="s">
        <v>148</v>
      </c>
      <c r="C37" s="3" t="s">
        <v>351</v>
      </c>
      <c r="D37" s="3" t="s">
        <v>49</v>
      </c>
      <c r="E37" s="3" t="s">
        <v>27</v>
      </c>
      <c r="F37" s="3" t="s">
        <v>28</v>
      </c>
      <c r="G37" s="3" t="s">
        <v>333</v>
      </c>
      <c r="H37" s="3" t="s">
        <v>389</v>
      </c>
      <c r="I37" s="3" t="s">
        <v>335</v>
      </c>
      <c r="J37" s="3">
        <v>3</v>
      </c>
      <c r="K37" s="3" t="s">
        <v>353</v>
      </c>
      <c r="L37" s="3" t="s">
        <v>336</v>
      </c>
      <c r="M37" s="3" t="s">
        <v>383</v>
      </c>
      <c r="N37" s="3" t="s">
        <v>336</v>
      </c>
      <c r="O37" s="3" t="s">
        <v>356</v>
      </c>
      <c r="P37" s="3" t="s">
        <v>360</v>
      </c>
      <c r="Q37" s="3" t="s">
        <v>347</v>
      </c>
      <c r="R37" s="3" t="s">
        <v>341</v>
      </c>
      <c r="S37" s="3" t="s">
        <v>342</v>
      </c>
      <c r="T37" s="3" t="s">
        <v>342</v>
      </c>
      <c r="U37" s="3" t="s">
        <v>343</v>
      </c>
      <c r="V37" s="3" t="s">
        <v>342</v>
      </c>
      <c r="W37" s="3" t="s">
        <v>362</v>
      </c>
    </row>
    <row r="38" spans="1:23" ht="24.75" customHeight="1" x14ac:dyDescent="0.35">
      <c r="A38" s="3" t="s">
        <v>149</v>
      </c>
      <c r="B38" s="3" t="s">
        <v>150</v>
      </c>
      <c r="C38" s="3" t="s">
        <v>351</v>
      </c>
      <c r="D38" s="3" t="s">
        <v>26</v>
      </c>
      <c r="E38" s="3" t="s">
        <v>27</v>
      </c>
      <c r="F38" s="3" t="s">
        <v>66</v>
      </c>
      <c r="G38" s="3" t="s">
        <v>333</v>
      </c>
      <c r="H38" s="3" t="s">
        <v>399</v>
      </c>
      <c r="I38" s="3" t="s">
        <v>335</v>
      </c>
      <c r="J38" s="3">
        <v>3</v>
      </c>
      <c r="K38" s="3" t="s">
        <v>353</v>
      </c>
      <c r="L38" s="3" t="s">
        <v>336</v>
      </c>
      <c r="M38" s="3" t="s">
        <v>413</v>
      </c>
      <c r="N38" s="3" t="s">
        <v>336</v>
      </c>
      <c r="O38" s="3" t="s">
        <v>356</v>
      </c>
      <c r="P38" s="3" t="s">
        <v>388</v>
      </c>
      <c r="Q38" s="3" t="s">
        <v>347</v>
      </c>
      <c r="R38" s="3" t="s">
        <v>357</v>
      </c>
      <c r="S38" s="3" t="s">
        <v>342</v>
      </c>
      <c r="T38" s="3" t="s">
        <v>342</v>
      </c>
      <c r="U38" s="3" t="s">
        <v>374</v>
      </c>
      <c r="V38" s="3" t="s">
        <v>342</v>
      </c>
      <c r="W38" s="3" t="s">
        <v>362</v>
      </c>
    </row>
    <row r="39" spans="1:23" ht="24.75" customHeight="1" x14ac:dyDescent="0.35">
      <c r="A39" s="3" t="s">
        <v>151</v>
      </c>
      <c r="B39" s="3" t="s">
        <v>152</v>
      </c>
      <c r="C39" s="3" t="s">
        <v>42</v>
      </c>
      <c r="D39" s="3" t="s">
        <v>26</v>
      </c>
      <c r="E39" s="3" t="s">
        <v>27</v>
      </c>
      <c r="F39" s="3" t="s">
        <v>66</v>
      </c>
      <c r="G39" s="3" t="s">
        <v>333</v>
      </c>
      <c r="H39" s="3" t="s">
        <v>414</v>
      </c>
      <c r="I39" s="3" t="s">
        <v>353</v>
      </c>
      <c r="J39" s="3">
        <v>3</v>
      </c>
      <c r="K39" s="3" t="s">
        <v>353</v>
      </c>
      <c r="L39" s="3" t="s">
        <v>415</v>
      </c>
      <c r="M39" s="3" t="s">
        <v>337</v>
      </c>
      <c r="N39" s="3" t="s">
        <v>333</v>
      </c>
      <c r="O39" s="3" t="s">
        <v>356</v>
      </c>
      <c r="P39" s="3" t="s">
        <v>416</v>
      </c>
      <c r="Q39" s="3" t="s">
        <v>347</v>
      </c>
      <c r="R39" s="3" t="s">
        <v>357</v>
      </c>
      <c r="S39" s="3" t="s">
        <v>342</v>
      </c>
      <c r="T39" s="3" t="s">
        <v>342</v>
      </c>
      <c r="U39" s="3" t="s">
        <v>361</v>
      </c>
      <c r="V39" s="3" t="s">
        <v>342</v>
      </c>
      <c r="W39" s="3" t="s">
        <v>358</v>
      </c>
    </row>
    <row r="40" spans="1:23" ht="24.75" customHeight="1" x14ac:dyDescent="0.35">
      <c r="A40" s="3" t="s">
        <v>154</v>
      </c>
      <c r="B40" s="3" t="s">
        <v>155</v>
      </c>
      <c r="C40" s="3" t="s">
        <v>42</v>
      </c>
      <c r="D40" s="3" t="s">
        <v>26</v>
      </c>
      <c r="E40" s="3" t="s">
        <v>27</v>
      </c>
      <c r="F40" s="3" t="s">
        <v>28</v>
      </c>
      <c r="G40" s="3" t="s">
        <v>333</v>
      </c>
      <c r="H40" s="3" t="s">
        <v>384</v>
      </c>
      <c r="I40" s="3" t="s">
        <v>353</v>
      </c>
      <c r="J40" s="3">
        <v>2</v>
      </c>
      <c r="K40" s="3" t="s">
        <v>353</v>
      </c>
      <c r="L40" s="3" t="s">
        <v>336</v>
      </c>
      <c r="M40" s="3" t="s">
        <v>385</v>
      </c>
      <c r="N40" s="3" t="s">
        <v>336</v>
      </c>
      <c r="O40" s="3" t="s">
        <v>359</v>
      </c>
      <c r="P40" s="3" t="s">
        <v>417</v>
      </c>
      <c r="Q40" s="3" t="s">
        <v>347</v>
      </c>
      <c r="R40" s="3" t="s">
        <v>341</v>
      </c>
      <c r="S40" s="3" t="s">
        <v>342</v>
      </c>
      <c r="T40" s="3" t="s">
        <v>342</v>
      </c>
      <c r="U40" s="3" t="s">
        <v>361</v>
      </c>
      <c r="V40" s="3" t="s">
        <v>342</v>
      </c>
      <c r="W40" s="3" t="s">
        <v>377</v>
      </c>
    </row>
    <row r="41" spans="1:23" ht="24.75" customHeight="1" x14ac:dyDescent="0.35">
      <c r="A41" s="3" t="s">
        <v>156</v>
      </c>
      <c r="B41" s="3" t="s">
        <v>157</v>
      </c>
      <c r="C41" s="3" t="s">
        <v>42</v>
      </c>
      <c r="D41" s="3" t="s">
        <v>26</v>
      </c>
      <c r="E41" s="3" t="s">
        <v>50</v>
      </c>
      <c r="F41" s="3" t="s">
        <v>28</v>
      </c>
      <c r="G41" s="3" t="s">
        <v>333</v>
      </c>
      <c r="H41" s="3" t="s">
        <v>403</v>
      </c>
      <c r="I41" s="3" t="s">
        <v>353</v>
      </c>
      <c r="J41" s="3">
        <v>3</v>
      </c>
      <c r="K41" s="3" t="s">
        <v>353</v>
      </c>
      <c r="L41" s="3" t="s">
        <v>354</v>
      </c>
      <c r="M41" s="3" t="s">
        <v>337</v>
      </c>
      <c r="N41" s="3" t="s">
        <v>354</v>
      </c>
      <c r="O41" s="3" t="s">
        <v>338</v>
      </c>
      <c r="P41" s="3" t="s">
        <v>339</v>
      </c>
      <c r="Q41" s="3" t="s">
        <v>347</v>
      </c>
      <c r="R41" s="3" t="s">
        <v>341</v>
      </c>
      <c r="S41" s="3" t="s">
        <v>342</v>
      </c>
      <c r="T41" s="3" t="s">
        <v>342</v>
      </c>
      <c r="U41" s="3" t="s">
        <v>361</v>
      </c>
      <c r="V41" s="3" t="s">
        <v>342</v>
      </c>
      <c r="W41" s="3" t="s">
        <v>404</v>
      </c>
    </row>
    <row r="42" spans="1:23" ht="24.75" customHeight="1" x14ac:dyDescent="0.35">
      <c r="A42" s="3" t="s">
        <v>158</v>
      </c>
      <c r="B42" s="3" t="s">
        <v>159</v>
      </c>
      <c r="C42" s="3" t="s">
        <v>351</v>
      </c>
      <c r="D42" s="3" t="s">
        <v>26</v>
      </c>
      <c r="E42" s="3" t="s">
        <v>27</v>
      </c>
      <c r="F42" s="3" t="s">
        <v>28</v>
      </c>
      <c r="G42" s="3" t="s">
        <v>333</v>
      </c>
      <c r="H42" s="3" t="s">
        <v>407</v>
      </c>
      <c r="I42" s="3" t="s">
        <v>335</v>
      </c>
      <c r="J42" s="3">
        <v>3</v>
      </c>
      <c r="K42" s="3" t="s">
        <v>335</v>
      </c>
      <c r="L42" s="3" t="s">
        <v>336</v>
      </c>
      <c r="M42" s="3" t="s">
        <v>337</v>
      </c>
      <c r="N42" s="3" t="s">
        <v>336</v>
      </c>
      <c r="O42" s="3" t="s">
        <v>359</v>
      </c>
      <c r="P42" s="3" t="s">
        <v>339</v>
      </c>
      <c r="Q42" s="3" t="s">
        <v>347</v>
      </c>
      <c r="R42" s="3" t="s">
        <v>341</v>
      </c>
      <c r="S42" s="3" t="s">
        <v>342</v>
      </c>
      <c r="T42" s="3" t="s">
        <v>342</v>
      </c>
      <c r="U42" s="3" t="s">
        <v>361</v>
      </c>
      <c r="V42" s="3" t="s">
        <v>348</v>
      </c>
      <c r="W42" s="3" t="s">
        <v>380</v>
      </c>
    </row>
    <row r="43" spans="1:23" ht="24.75" customHeight="1" x14ac:dyDescent="0.35">
      <c r="A43" s="3" t="s">
        <v>160</v>
      </c>
      <c r="B43" s="3" t="s">
        <v>161</v>
      </c>
      <c r="C43" s="3" t="s">
        <v>42</v>
      </c>
      <c r="D43" s="3" t="s">
        <v>26</v>
      </c>
      <c r="E43" s="3" t="s">
        <v>50</v>
      </c>
      <c r="F43" s="3" t="s">
        <v>28</v>
      </c>
      <c r="G43" s="3" t="s">
        <v>336</v>
      </c>
      <c r="H43" s="3" t="s">
        <v>334</v>
      </c>
      <c r="I43" s="3" t="s">
        <v>381</v>
      </c>
      <c r="J43" s="3">
        <v>3</v>
      </c>
      <c r="K43" s="3" t="s">
        <v>353</v>
      </c>
      <c r="L43" s="3" t="s">
        <v>354</v>
      </c>
      <c r="M43" s="3" t="s">
        <v>337</v>
      </c>
      <c r="N43" s="3" t="s">
        <v>354</v>
      </c>
      <c r="O43" s="3" t="s">
        <v>359</v>
      </c>
      <c r="P43" s="3" t="s">
        <v>360</v>
      </c>
      <c r="Q43" s="3" t="s">
        <v>347</v>
      </c>
      <c r="R43" s="3" t="s">
        <v>394</v>
      </c>
      <c r="S43" s="3" t="s">
        <v>342</v>
      </c>
      <c r="T43" s="3" t="s">
        <v>342</v>
      </c>
      <c r="U43" s="3" t="s">
        <v>361</v>
      </c>
      <c r="V43" s="3" t="s">
        <v>342</v>
      </c>
      <c r="W43" s="3" t="s">
        <v>404</v>
      </c>
    </row>
    <row r="44" spans="1:23" ht="24.75" customHeight="1" x14ac:dyDescent="0.35">
      <c r="A44" s="3" t="s">
        <v>162</v>
      </c>
      <c r="B44" s="3" t="s">
        <v>163</v>
      </c>
      <c r="C44" s="3" t="s">
        <v>42</v>
      </c>
      <c r="D44" s="3" t="s">
        <v>109</v>
      </c>
      <c r="E44" s="3" t="s">
        <v>27</v>
      </c>
      <c r="F44" s="3" t="s">
        <v>28</v>
      </c>
      <c r="G44" s="3" t="s">
        <v>336</v>
      </c>
      <c r="H44" s="3" t="s">
        <v>418</v>
      </c>
      <c r="I44" s="3" t="s">
        <v>353</v>
      </c>
      <c r="J44" s="3">
        <v>3</v>
      </c>
      <c r="K44" s="3" t="s">
        <v>353</v>
      </c>
      <c r="L44" s="3" t="s">
        <v>354</v>
      </c>
      <c r="M44" s="3" t="s">
        <v>337</v>
      </c>
      <c r="N44" s="3" t="s">
        <v>354</v>
      </c>
      <c r="O44" s="3" t="s">
        <v>338</v>
      </c>
      <c r="P44" s="3" t="s">
        <v>360</v>
      </c>
      <c r="Q44" s="3" t="s">
        <v>340</v>
      </c>
      <c r="R44" s="3" t="s">
        <v>419</v>
      </c>
      <c r="S44" s="3" t="s">
        <v>342</v>
      </c>
      <c r="T44" s="3" t="s">
        <v>342</v>
      </c>
      <c r="U44" s="3" t="s">
        <v>374</v>
      </c>
      <c r="V44" s="3" t="s">
        <v>342</v>
      </c>
      <c r="W44" s="3" t="s">
        <v>420</v>
      </c>
    </row>
    <row r="45" spans="1:23" ht="24.75" customHeight="1" x14ac:dyDescent="0.35">
      <c r="A45" s="3" t="s">
        <v>166</v>
      </c>
      <c r="B45" s="3" t="s">
        <v>167</v>
      </c>
      <c r="C45" s="3" t="s">
        <v>42</v>
      </c>
      <c r="D45" s="3" t="s">
        <v>26</v>
      </c>
      <c r="E45" s="3" t="s">
        <v>27</v>
      </c>
      <c r="F45" s="3" t="s">
        <v>28</v>
      </c>
      <c r="G45" s="3" t="s">
        <v>333</v>
      </c>
      <c r="H45" s="3" t="s">
        <v>421</v>
      </c>
      <c r="I45" s="3" t="s">
        <v>346</v>
      </c>
      <c r="J45" s="3">
        <v>2</v>
      </c>
      <c r="K45" s="3" t="s">
        <v>353</v>
      </c>
      <c r="L45" s="3" t="s">
        <v>354</v>
      </c>
      <c r="M45" s="3" t="s">
        <v>412</v>
      </c>
      <c r="N45" s="3" t="s">
        <v>336</v>
      </c>
      <c r="O45" s="3" t="s">
        <v>359</v>
      </c>
      <c r="P45" s="3" t="s">
        <v>388</v>
      </c>
      <c r="Q45" s="3" t="s">
        <v>347</v>
      </c>
      <c r="R45" s="3" t="s">
        <v>341</v>
      </c>
      <c r="S45" s="3" t="s">
        <v>342</v>
      </c>
      <c r="T45" s="3" t="s">
        <v>342</v>
      </c>
      <c r="U45" s="3" t="s">
        <v>343</v>
      </c>
      <c r="V45" s="3" t="s">
        <v>348</v>
      </c>
      <c r="W45" s="3" t="s">
        <v>377</v>
      </c>
    </row>
    <row r="46" spans="1:23" ht="24.75" customHeight="1" x14ac:dyDescent="0.35">
      <c r="A46" s="3" t="s">
        <v>168</v>
      </c>
      <c r="B46" s="3" t="s">
        <v>169</v>
      </c>
      <c r="C46" s="3" t="s">
        <v>351</v>
      </c>
      <c r="D46" s="3" t="s">
        <v>26</v>
      </c>
      <c r="E46" s="3" t="s">
        <v>27</v>
      </c>
      <c r="F46" s="3" t="s">
        <v>28</v>
      </c>
      <c r="G46" s="3" t="s">
        <v>333</v>
      </c>
      <c r="H46" s="3" t="s">
        <v>422</v>
      </c>
      <c r="I46" s="3" t="s">
        <v>346</v>
      </c>
      <c r="J46" s="3">
        <v>1</v>
      </c>
      <c r="K46" s="3" t="s">
        <v>346</v>
      </c>
      <c r="L46" s="3" t="s">
        <v>368</v>
      </c>
      <c r="M46" s="3" t="s">
        <v>366</v>
      </c>
      <c r="N46" s="3" t="s">
        <v>333</v>
      </c>
      <c r="O46" s="3" t="s">
        <v>356</v>
      </c>
      <c r="P46" s="3" t="s">
        <v>417</v>
      </c>
      <c r="Q46" s="3" t="s">
        <v>340</v>
      </c>
      <c r="R46" s="3" t="s">
        <v>341</v>
      </c>
      <c r="S46" s="3" t="s">
        <v>342</v>
      </c>
      <c r="T46" s="3" t="s">
        <v>342</v>
      </c>
      <c r="U46" s="3" t="s">
        <v>343</v>
      </c>
      <c r="V46" s="3" t="s">
        <v>342</v>
      </c>
      <c r="W46" s="3" t="s">
        <v>362</v>
      </c>
    </row>
    <row r="47" spans="1:23" ht="24.75" customHeight="1" x14ac:dyDescent="0.35">
      <c r="A47" s="3" t="s">
        <v>171</v>
      </c>
      <c r="B47" s="3" t="s">
        <v>172</v>
      </c>
      <c r="C47" s="3" t="s">
        <v>42</v>
      </c>
      <c r="D47" s="3" t="s">
        <v>26</v>
      </c>
      <c r="E47" s="3" t="s">
        <v>50</v>
      </c>
      <c r="F47" s="3" t="s">
        <v>28</v>
      </c>
      <c r="G47" s="3" t="s">
        <v>333</v>
      </c>
      <c r="H47" s="3" t="s">
        <v>400</v>
      </c>
      <c r="I47" s="3" t="s">
        <v>353</v>
      </c>
      <c r="J47" s="3">
        <v>3</v>
      </c>
      <c r="K47" s="3" t="s">
        <v>353</v>
      </c>
      <c r="L47" s="3" t="s">
        <v>354</v>
      </c>
      <c r="M47" s="3" t="s">
        <v>337</v>
      </c>
      <c r="N47" s="3" t="s">
        <v>333</v>
      </c>
      <c r="O47" s="3" t="s">
        <v>356</v>
      </c>
      <c r="P47" s="3" t="s">
        <v>339</v>
      </c>
      <c r="Q47" s="3" t="s">
        <v>340</v>
      </c>
      <c r="R47" s="3" t="s">
        <v>357</v>
      </c>
      <c r="S47" s="3" t="s">
        <v>342</v>
      </c>
      <c r="T47" s="3" t="s">
        <v>342</v>
      </c>
      <c r="U47" s="3" t="s">
        <v>343</v>
      </c>
      <c r="V47" s="3" t="s">
        <v>342</v>
      </c>
      <c r="W47" s="3" t="s">
        <v>371</v>
      </c>
    </row>
    <row r="48" spans="1:23" ht="24.75" customHeight="1" x14ac:dyDescent="0.35">
      <c r="A48" s="3" t="s">
        <v>173</v>
      </c>
      <c r="B48" s="3" t="s">
        <v>174</v>
      </c>
      <c r="C48" s="3" t="s">
        <v>42</v>
      </c>
      <c r="D48" s="3" t="s">
        <v>26</v>
      </c>
      <c r="E48" s="3" t="s">
        <v>27</v>
      </c>
      <c r="F48" s="3" t="s">
        <v>66</v>
      </c>
      <c r="G48" s="3" t="s">
        <v>333</v>
      </c>
      <c r="H48" s="3" t="s">
        <v>367</v>
      </c>
      <c r="I48" s="3" t="s">
        <v>353</v>
      </c>
      <c r="J48" s="3">
        <v>1</v>
      </c>
      <c r="K48" s="3" t="s">
        <v>353</v>
      </c>
      <c r="L48" s="3" t="s">
        <v>354</v>
      </c>
      <c r="M48" s="3" t="s">
        <v>412</v>
      </c>
      <c r="N48" s="3" t="s">
        <v>354</v>
      </c>
      <c r="O48" s="3" t="s">
        <v>356</v>
      </c>
      <c r="P48" s="3" t="s">
        <v>406</v>
      </c>
      <c r="Q48" s="3" t="s">
        <v>347</v>
      </c>
      <c r="R48" s="3" t="s">
        <v>341</v>
      </c>
      <c r="S48" s="3" t="s">
        <v>342</v>
      </c>
      <c r="T48" s="3" t="s">
        <v>342</v>
      </c>
      <c r="U48" s="3" t="s">
        <v>343</v>
      </c>
      <c r="V48" s="3" t="s">
        <v>342</v>
      </c>
      <c r="W48" s="3" t="s">
        <v>404</v>
      </c>
    </row>
    <row r="49" spans="1:23" ht="24.75" customHeight="1" x14ac:dyDescent="0.35">
      <c r="A49" s="3" t="s">
        <v>175</v>
      </c>
      <c r="B49" s="3" t="s">
        <v>176</v>
      </c>
      <c r="C49" s="3" t="s">
        <v>177</v>
      </c>
      <c r="D49" s="3" t="s">
        <v>109</v>
      </c>
      <c r="E49" s="3" t="s">
        <v>50</v>
      </c>
      <c r="F49" s="3" t="s">
        <v>28</v>
      </c>
      <c r="G49" s="3" t="s">
        <v>333</v>
      </c>
      <c r="H49" s="3" t="s">
        <v>399</v>
      </c>
      <c r="I49" s="3" t="s">
        <v>346</v>
      </c>
      <c r="J49" s="3">
        <v>2</v>
      </c>
      <c r="K49" s="3" t="s">
        <v>335</v>
      </c>
      <c r="L49" s="3" t="s">
        <v>336</v>
      </c>
      <c r="M49" s="3" t="s">
        <v>423</v>
      </c>
      <c r="N49" s="3" t="s">
        <v>333</v>
      </c>
      <c r="O49" s="3" t="s">
        <v>356</v>
      </c>
      <c r="P49" s="3" t="s">
        <v>388</v>
      </c>
      <c r="Q49" s="3" t="s">
        <v>347</v>
      </c>
      <c r="R49" s="3" t="s">
        <v>357</v>
      </c>
      <c r="S49" s="3" t="s">
        <v>342</v>
      </c>
      <c r="T49" s="3" t="s">
        <v>342</v>
      </c>
      <c r="U49" s="3" t="s">
        <v>374</v>
      </c>
      <c r="V49" s="3" t="s">
        <v>342</v>
      </c>
      <c r="W49" s="3" t="s">
        <v>362</v>
      </c>
    </row>
    <row r="50" spans="1:23" ht="24.75" customHeight="1" x14ac:dyDescent="0.35">
      <c r="A50" s="3" t="s">
        <v>178</v>
      </c>
      <c r="B50" s="3" t="s">
        <v>179</v>
      </c>
      <c r="C50" s="3" t="s">
        <v>351</v>
      </c>
      <c r="D50" s="3" t="s">
        <v>26</v>
      </c>
      <c r="E50" s="3" t="s">
        <v>27</v>
      </c>
      <c r="F50" s="3" t="s">
        <v>28</v>
      </c>
      <c r="G50" s="3" t="s">
        <v>333</v>
      </c>
      <c r="H50" s="3" t="s">
        <v>399</v>
      </c>
      <c r="I50" s="3" t="s">
        <v>353</v>
      </c>
      <c r="J50" s="3">
        <v>3</v>
      </c>
      <c r="K50" s="3" t="s">
        <v>353</v>
      </c>
      <c r="L50" s="3" t="s">
        <v>336</v>
      </c>
      <c r="M50" s="3" t="s">
        <v>412</v>
      </c>
      <c r="N50" s="3" t="s">
        <v>354</v>
      </c>
      <c r="O50" s="3" t="s">
        <v>356</v>
      </c>
      <c r="P50" s="3" t="s">
        <v>339</v>
      </c>
      <c r="Q50" s="3" t="s">
        <v>347</v>
      </c>
      <c r="R50" s="3" t="s">
        <v>341</v>
      </c>
      <c r="S50" s="3" t="s">
        <v>348</v>
      </c>
      <c r="T50" s="3" t="s">
        <v>348</v>
      </c>
      <c r="U50" s="3" t="s">
        <v>349</v>
      </c>
      <c r="V50" s="3" t="s">
        <v>348</v>
      </c>
      <c r="W50" s="3" t="s">
        <v>362</v>
      </c>
    </row>
    <row r="51" spans="1:23" ht="24.75" customHeight="1" x14ac:dyDescent="0.35">
      <c r="A51" s="3" t="s">
        <v>180</v>
      </c>
      <c r="B51" s="3" t="s">
        <v>181</v>
      </c>
      <c r="C51" s="3" t="s">
        <v>42</v>
      </c>
      <c r="D51" s="3" t="s">
        <v>134</v>
      </c>
      <c r="E51" s="3" t="s">
        <v>27</v>
      </c>
      <c r="F51" s="3" t="s">
        <v>62</v>
      </c>
      <c r="G51" s="3" t="s">
        <v>333</v>
      </c>
      <c r="H51" s="3" t="s">
        <v>424</v>
      </c>
      <c r="I51" s="3" t="s">
        <v>353</v>
      </c>
      <c r="J51" s="3">
        <v>3</v>
      </c>
      <c r="K51" s="3" t="s">
        <v>353</v>
      </c>
      <c r="L51" s="3" t="s">
        <v>354</v>
      </c>
      <c r="M51" s="3" t="s">
        <v>412</v>
      </c>
      <c r="N51" s="3" t="s">
        <v>354</v>
      </c>
      <c r="O51" s="3" t="s">
        <v>356</v>
      </c>
      <c r="P51" s="3" t="s">
        <v>388</v>
      </c>
      <c r="Q51" s="3" t="s">
        <v>347</v>
      </c>
      <c r="R51" s="3" t="s">
        <v>394</v>
      </c>
      <c r="S51" s="3" t="s">
        <v>342</v>
      </c>
      <c r="T51" s="3" t="s">
        <v>342</v>
      </c>
      <c r="U51" s="3" t="s">
        <v>361</v>
      </c>
      <c r="V51" s="3" t="s">
        <v>342</v>
      </c>
      <c r="W51" s="3" t="s">
        <v>362</v>
      </c>
    </row>
    <row r="52" spans="1:23" ht="24.75" customHeight="1" x14ac:dyDescent="0.35">
      <c r="A52" s="3" t="s">
        <v>182</v>
      </c>
      <c r="B52" s="3" t="s">
        <v>183</v>
      </c>
      <c r="C52" s="3" t="s">
        <v>25</v>
      </c>
      <c r="D52" s="3" t="s">
        <v>26</v>
      </c>
      <c r="E52" s="3" t="s">
        <v>27</v>
      </c>
      <c r="F52" s="3" t="s">
        <v>62</v>
      </c>
      <c r="G52" s="3" t="s">
        <v>333</v>
      </c>
      <c r="H52" s="3" t="s">
        <v>403</v>
      </c>
      <c r="I52" s="3" t="s">
        <v>346</v>
      </c>
      <c r="J52" s="3">
        <v>3</v>
      </c>
      <c r="K52" s="3" t="s">
        <v>353</v>
      </c>
      <c r="L52" s="3" t="s">
        <v>349</v>
      </c>
      <c r="M52" s="3" t="s">
        <v>337</v>
      </c>
      <c r="N52" s="3" t="s">
        <v>336</v>
      </c>
      <c r="O52" s="3" t="s">
        <v>359</v>
      </c>
      <c r="P52" s="3" t="s">
        <v>339</v>
      </c>
      <c r="Q52" s="3" t="s">
        <v>340</v>
      </c>
      <c r="R52" s="3" t="s">
        <v>394</v>
      </c>
      <c r="S52" s="3" t="s">
        <v>342</v>
      </c>
      <c r="T52" s="3" t="s">
        <v>342</v>
      </c>
      <c r="U52" s="3" t="s">
        <v>361</v>
      </c>
      <c r="V52" s="3" t="s">
        <v>348</v>
      </c>
      <c r="W52" s="3" t="s">
        <v>390</v>
      </c>
    </row>
    <row r="53" spans="1:23" ht="24.75" customHeight="1" x14ac:dyDescent="0.35">
      <c r="A53" s="3" t="s">
        <v>184</v>
      </c>
      <c r="B53" s="3" t="s">
        <v>185</v>
      </c>
      <c r="C53" s="3" t="s">
        <v>351</v>
      </c>
      <c r="D53" s="3" t="s">
        <v>26</v>
      </c>
      <c r="E53" s="3" t="s">
        <v>364</v>
      </c>
      <c r="F53" s="3" t="s">
        <v>62</v>
      </c>
      <c r="G53" s="3" t="s">
        <v>333</v>
      </c>
      <c r="H53" s="3" t="s">
        <v>411</v>
      </c>
      <c r="I53" s="3" t="s">
        <v>353</v>
      </c>
      <c r="J53" s="3">
        <v>3</v>
      </c>
      <c r="K53" s="3" t="s">
        <v>353</v>
      </c>
      <c r="L53" s="3" t="s">
        <v>336</v>
      </c>
      <c r="M53" s="3" t="s">
        <v>425</v>
      </c>
      <c r="N53" s="3" t="s">
        <v>354</v>
      </c>
      <c r="O53" s="3" t="s">
        <v>410</v>
      </c>
      <c r="P53" s="3" t="s">
        <v>339</v>
      </c>
      <c r="Q53" s="3" t="s">
        <v>347</v>
      </c>
      <c r="R53" s="3" t="s">
        <v>394</v>
      </c>
      <c r="S53" s="3" t="s">
        <v>348</v>
      </c>
      <c r="T53" s="3" t="s">
        <v>348</v>
      </c>
      <c r="U53" s="3" t="s">
        <v>343</v>
      </c>
      <c r="V53" s="3" t="s">
        <v>342</v>
      </c>
      <c r="W53" s="3" t="s">
        <v>404</v>
      </c>
    </row>
    <row r="54" spans="1:23" ht="24.75" customHeight="1" x14ac:dyDescent="0.35">
      <c r="A54" s="3" t="s">
        <v>186</v>
      </c>
      <c r="B54" s="3" t="s">
        <v>187</v>
      </c>
      <c r="C54" s="3" t="s">
        <v>25</v>
      </c>
      <c r="D54" s="3" t="s">
        <v>134</v>
      </c>
      <c r="E54" s="3" t="s">
        <v>27</v>
      </c>
      <c r="F54" s="3" t="s">
        <v>62</v>
      </c>
      <c r="G54" s="3" t="s">
        <v>333</v>
      </c>
      <c r="H54" s="3" t="s">
        <v>389</v>
      </c>
      <c r="I54" s="3" t="s">
        <v>353</v>
      </c>
      <c r="J54" s="3">
        <v>3</v>
      </c>
      <c r="K54" s="3" t="s">
        <v>353</v>
      </c>
      <c r="L54" s="3" t="s">
        <v>336</v>
      </c>
      <c r="M54" s="3" t="s">
        <v>426</v>
      </c>
      <c r="N54" s="3" t="s">
        <v>354</v>
      </c>
      <c r="O54" s="3" t="s">
        <v>359</v>
      </c>
      <c r="P54" s="3" t="s">
        <v>360</v>
      </c>
      <c r="Q54" s="3" t="s">
        <v>370</v>
      </c>
      <c r="R54" s="3" t="s">
        <v>357</v>
      </c>
      <c r="S54" s="3" t="s">
        <v>342</v>
      </c>
      <c r="T54" s="3" t="s">
        <v>342</v>
      </c>
      <c r="U54" s="3" t="s">
        <v>343</v>
      </c>
      <c r="V54" s="3" t="s">
        <v>342</v>
      </c>
      <c r="W54" s="3" t="s">
        <v>404</v>
      </c>
    </row>
    <row r="55" spans="1:23" ht="24.75" customHeight="1" x14ac:dyDescent="0.35">
      <c r="A55" s="3" t="s">
        <v>188</v>
      </c>
      <c r="B55" s="3" t="s">
        <v>189</v>
      </c>
      <c r="C55" s="3" t="s">
        <v>42</v>
      </c>
      <c r="D55" s="3" t="s">
        <v>26</v>
      </c>
      <c r="E55" s="3" t="s">
        <v>27</v>
      </c>
      <c r="F55" s="3" t="s">
        <v>28</v>
      </c>
      <c r="G55" s="3" t="s">
        <v>333</v>
      </c>
      <c r="H55" s="3" t="s">
        <v>403</v>
      </c>
      <c r="I55" s="3" t="s">
        <v>353</v>
      </c>
      <c r="J55" s="3">
        <v>3</v>
      </c>
      <c r="K55" s="3" t="s">
        <v>353</v>
      </c>
      <c r="L55" s="3" t="s">
        <v>354</v>
      </c>
      <c r="M55" s="3" t="s">
        <v>395</v>
      </c>
      <c r="N55" s="3" t="s">
        <v>354</v>
      </c>
      <c r="O55" s="3" t="s">
        <v>356</v>
      </c>
      <c r="P55" s="3" t="s">
        <v>360</v>
      </c>
      <c r="Q55" s="3" t="s">
        <v>347</v>
      </c>
      <c r="R55" s="3" t="s">
        <v>357</v>
      </c>
      <c r="S55" s="3" t="s">
        <v>342</v>
      </c>
      <c r="T55" s="3" t="s">
        <v>342</v>
      </c>
      <c r="U55" s="3" t="s">
        <v>361</v>
      </c>
      <c r="V55" s="3" t="s">
        <v>342</v>
      </c>
      <c r="W55" s="3" t="s">
        <v>404</v>
      </c>
    </row>
    <row r="56" spans="1:23" ht="24.75" customHeight="1" x14ac:dyDescent="0.35">
      <c r="A56" s="3" t="s">
        <v>190</v>
      </c>
      <c r="B56" s="3" t="s">
        <v>191</v>
      </c>
      <c r="C56" s="3" t="s">
        <v>351</v>
      </c>
      <c r="D56" s="3" t="s">
        <v>65</v>
      </c>
      <c r="E56" s="3" t="s">
        <v>27</v>
      </c>
      <c r="F56" s="3" t="s">
        <v>28</v>
      </c>
      <c r="G56" s="3" t="s">
        <v>333</v>
      </c>
      <c r="H56" s="3" t="s">
        <v>400</v>
      </c>
      <c r="I56" s="3" t="s">
        <v>335</v>
      </c>
      <c r="J56" s="3">
        <v>2</v>
      </c>
      <c r="K56" s="3" t="s">
        <v>335</v>
      </c>
      <c r="L56" s="3" t="s">
        <v>368</v>
      </c>
      <c r="M56" s="3" t="s">
        <v>413</v>
      </c>
      <c r="N56" s="3" t="s">
        <v>333</v>
      </c>
      <c r="O56" s="3" t="s">
        <v>356</v>
      </c>
      <c r="P56" s="3" t="s">
        <v>417</v>
      </c>
      <c r="Q56" s="3" t="s">
        <v>340</v>
      </c>
      <c r="R56" s="3" t="s">
        <v>341</v>
      </c>
      <c r="S56" s="3" t="s">
        <v>342</v>
      </c>
      <c r="T56" s="3" t="s">
        <v>342</v>
      </c>
      <c r="U56" s="3" t="s">
        <v>192</v>
      </c>
      <c r="V56" s="3" t="s">
        <v>342</v>
      </c>
      <c r="W56" s="3" t="s">
        <v>362</v>
      </c>
    </row>
    <row r="57" spans="1:23" ht="24.75" customHeight="1" x14ac:dyDescent="0.35">
      <c r="A57" s="3" t="s">
        <v>193</v>
      </c>
      <c r="B57" s="3" t="s">
        <v>194</v>
      </c>
      <c r="C57" s="3" t="s">
        <v>42</v>
      </c>
      <c r="D57" s="3" t="s">
        <v>26</v>
      </c>
      <c r="E57" s="3" t="s">
        <v>27</v>
      </c>
      <c r="F57" s="3" t="s">
        <v>28</v>
      </c>
      <c r="G57" s="3" t="s">
        <v>333</v>
      </c>
      <c r="H57" s="3" t="s">
        <v>399</v>
      </c>
      <c r="I57" s="3" t="s">
        <v>353</v>
      </c>
      <c r="J57" s="3">
        <v>3</v>
      </c>
      <c r="K57" s="3" t="s">
        <v>353</v>
      </c>
      <c r="L57" s="3" t="s">
        <v>336</v>
      </c>
      <c r="M57" s="3" t="s">
        <v>337</v>
      </c>
      <c r="N57" s="3" t="s">
        <v>333</v>
      </c>
      <c r="O57" s="3" t="s">
        <v>359</v>
      </c>
      <c r="P57" s="3" t="s">
        <v>339</v>
      </c>
      <c r="Q57" s="3" t="s">
        <v>347</v>
      </c>
      <c r="R57" s="3" t="s">
        <v>341</v>
      </c>
      <c r="S57" s="3" t="s">
        <v>342</v>
      </c>
      <c r="T57" s="3" t="s">
        <v>342</v>
      </c>
      <c r="U57" s="3" t="s">
        <v>361</v>
      </c>
      <c r="V57" s="3" t="s">
        <v>348</v>
      </c>
      <c r="W57" s="3" t="s">
        <v>362</v>
      </c>
    </row>
    <row r="58" spans="1:23" ht="24.75" customHeight="1" x14ac:dyDescent="0.35">
      <c r="A58" s="3" t="s">
        <v>195</v>
      </c>
      <c r="B58" s="3" t="s">
        <v>196</v>
      </c>
      <c r="C58" s="3" t="s">
        <v>363</v>
      </c>
      <c r="D58" s="3" t="s">
        <v>134</v>
      </c>
      <c r="E58" s="3" t="s">
        <v>364</v>
      </c>
      <c r="F58" s="3" t="s">
        <v>62</v>
      </c>
      <c r="G58" s="3" t="s">
        <v>415</v>
      </c>
      <c r="H58" s="3" t="s">
        <v>427</v>
      </c>
      <c r="I58" s="3" t="s">
        <v>353</v>
      </c>
      <c r="J58" s="3">
        <v>4</v>
      </c>
      <c r="K58" s="3" t="s">
        <v>353</v>
      </c>
      <c r="L58" s="3" t="s">
        <v>354</v>
      </c>
      <c r="M58" s="3" t="s">
        <v>395</v>
      </c>
      <c r="N58" s="3" t="s">
        <v>354</v>
      </c>
      <c r="O58" s="3" t="s">
        <v>356</v>
      </c>
      <c r="P58" s="3" t="s">
        <v>406</v>
      </c>
      <c r="Q58" s="3" t="s">
        <v>347</v>
      </c>
      <c r="R58" s="3" t="s">
        <v>357</v>
      </c>
      <c r="S58" s="3" t="s">
        <v>342</v>
      </c>
      <c r="T58" s="3" t="s">
        <v>342</v>
      </c>
      <c r="U58" s="3" t="s">
        <v>361</v>
      </c>
      <c r="V58" s="3" t="s">
        <v>348</v>
      </c>
      <c r="W58" s="3" t="s">
        <v>371</v>
      </c>
    </row>
    <row r="59" spans="1:23" ht="24.75" customHeight="1" x14ac:dyDescent="0.35">
      <c r="A59" s="3" t="s">
        <v>198</v>
      </c>
      <c r="B59" s="3" t="s">
        <v>199</v>
      </c>
      <c r="C59" s="3" t="s">
        <v>42</v>
      </c>
      <c r="D59" s="3" t="s">
        <v>26</v>
      </c>
      <c r="E59" s="3" t="s">
        <v>50</v>
      </c>
      <c r="F59" s="3" t="s">
        <v>66</v>
      </c>
      <c r="G59" s="3" t="s">
        <v>333</v>
      </c>
      <c r="H59" s="3" t="s">
        <v>345</v>
      </c>
      <c r="I59" s="3" t="s">
        <v>353</v>
      </c>
      <c r="J59" s="3">
        <v>3</v>
      </c>
      <c r="K59" s="3" t="s">
        <v>353</v>
      </c>
      <c r="L59" s="3" t="s">
        <v>354</v>
      </c>
      <c r="M59" s="3" t="s">
        <v>337</v>
      </c>
      <c r="N59" s="3" t="s">
        <v>354</v>
      </c>
      <c r="O59" s="3" t="s">
        <v>410</v>
      </c>
      <c r="P59" s="3" t="s">
        <v>360</v>
      </c>
      <c r="Q59" s="3" t="s">
        <v>347</v>
      </c>
      <c r="R59" s="3" t="s">
        <v>394</v>
      </c>
      <c r="S59" s="3" t="s">
        <v>342</v>
      </c>
      <c r="T59" s="3" t="s">
        <v>342</v>
      </c>
      <c r="U59" s="3" t="s">
        <v>361</v>
      </c>
      <c r="V59" s="3" t="s">
        <v>348</v>
      </c>
      <c r="W59" s="3" t="s">
        <v>377</v>
      </c>
    </row>
    <row r="60" spans="1:23" ht="24.75" customHeight="1" x14ac:dyDescent="0.35">
      <c r="A60" s="3" t="s">
        <v>200</v>
      </c>
      <c r="B60" s="3" t="s">
        <v>201</v>
      </c>
      <c r="C60" s="3" t="s">
        <v>42</v>
      </c>
      <c r="D60" s="3" t="s">
        <v>134</v>
      </c>
      <c r="E60" s="3" t="s">
        <v>27</v>
      </c>
      <c r="F60" s="3" t="s">
        <v>28</v>
      </c>
      <c r="G60" s="3" t="s">
        <v>336</v>
      </c>
      <c r="H60" s="3" t="s">
        <v>407</v>
      </c>
      <c r="I60" s="3" t="s">
        <v>353</v>
      </c>
      <c r="J60" s="3">
        <v>5</v>
      </c>
      <c r="K60" s="3" t="s">
        <v>381</v>
      </c>
      <c r="L60" s="3" t="s">
        <v>415</v>
      </c>
      <c r="M60" s="3" t="s">
        <v>379</v>
      </c>
      <c r="N60" s="3" t="s">
        <v>354</v>
      </c>
      <c r="O60" s="3" t="s">
        <v>356</v>
      </c>
      <c r="P60" s="3" t="s">
        <v>406</v>
      </c>
      <c r="Q60" s="3" t="s">
        <v>370</v>
      </c>
      <c r="R60" s="3" t="s">
        <v>394</v>
      </c>
      <c r="S60" s="3" t="s">
        <v>342</v>
      </c>
      <c r="T60" s="3" t="s">
        <v>342</v>
      </c>
      <c r="U60" s="3" t="s">
        <v>343</v>
      </c>
      <c r="V60" s="3" t="s">
        <v>342</v>
      </c>
      <c r="W60" s="3" t="s">
        <v>377</v>
      </c>
    </row>
    <row r="61" spans="1:23" ht="24.75" customHeight="1" x14ac:dyDescent="0.35">
      <c r="A61" s="3" t="s">
        <v>202</v>
      </c>
      <c r="B61" s="3" t="s">
        <v>203</v>
      </c>
      <c r="C61" s="3" t="s">
        <v>42</v>
      </c>
      <c r="D61" s="3" t="s">
        <v>26</v>
      </c>
      <c r="E61" s="3" t="s">
        <v>27</v>
      </c>
      <c r="F61" s="3" t="s">
        <v>28</v>
      </c>
      <c r="G61" s="3" t="s">
        <v>333</v>
      </c>
      <c r="H61" s="3" t="s">
        <v>389</v>
      </c>
      <c r="I61" s="3" t="s">
        <v>353</v>
      </c>
      <c r="J61" s="3">
        <v>3</v>
      </c>
      <c r="K61" s="3" t="s">
        <v>353</v>
      </c>
      <c r="L61" s="3" t="s">
        <v>354</v>
      </c>
      <c r="M61" s="3" t="s">
        <v>337</v>
      </c>
      <c r="N61" s="3" t="s">
        <v>354</v>
      </c>
      <c r="O61" s="3" t="s">
        <v>356</v>
      </c>
      <c r="P61" s="3" t="s">
        <v>339</v>
      </c>
      <c r="Q61" s="3" t="s">
        <v>347</v>
      </c>
      <c r="R61" s="3" t="s">
        <v>357</v>
      </c>
      <c r="S61" s="3" t="s">
        <v>342</v>
      </c>
      <c r="T61" s="3" t="s">
        <v>342</v>
      </c>
      <c r="U61" s="3" t="s">
        <v>343</v>
      </c>
      <c r="V61" s="3" t="s">
        <v>342</v>
      </c>
      <c r="W61" s="3" t="s">
        <v>371</v>
      </c>
    </row>
    <row r="62" spans="1:23" ht="24.75" customHeight="1" x14ac:dyDescent="0.35">
      <c r="A62" s="3" t="s">
        <v>204</v>
      </c>
      <c r="B62" s="3" t="s">
        <v>205</v>
      </c>
      <c r="C62" s="3" t="s">
        <v>42</v>
      </c>
      <c r="D62" s="3" t="s">
        <v>26</v>
      </c>
      <c r="E62" s="3" t="s">
        <v>27</v>
      </c>
      <c r="F62" s="3" t="s">
        <v>28</v>
      </c>
      <c r="G62" s="3" t="s">
        <v>336</v>
      </c>
      <c r="H62" s="3" t="s">
        <v>414</v>
      </c>
      <c r="I62" s="3" t="s">
        <v>335</v>
      </c>
      <c r="J62" s="3">
        <v>4</v>
      </c>
      <c r="K62" s="3" t="s">
        <v>335</v>
      </c>
      <c r="L62" s="3" t="s">
        <v>354</v>
      </c>
      <c r="M62" s="3" t="s">
        <v>337</v>
      </c>
      <c r="N62" s="3" t="s">
        <v>354</v>
      </c>
      <c r="O62" s="3" t="s">
        <v>356</v>
      </c>
      <c r="P62" s="3" t="s">
        <v>339</v>
      </c>
      <c r="Q62" s="3" t="s">
        <v>347</v>
      </c>
      <c r="R62" s="3" t="s">
        <v>341</v>
      </c>
      <c r="S62" s="3" t="s">
        <v>348</v>
      </c>
      <c r="T62" s="3" t="s">
        <v>342</v>
      </c>
      <c r="U62" s="3" t="s">
        <v>374</v>
      </c>
      <c r="V62" s="3" t="s">
        <v>342</v>
      </c>
      <c r="W62" s="3" t="s">
        <v>362</v>
      </c>
    </row>
    <row r="63" spans="1:23" ht="24.75" customHeight="1" x14ac:dyDescent="0.35">
      <c r="A63" s="3" t="s">
        <v>206</v>
      </c>
      <c r="B63" s="3" t="s">
        <v>207</v>
      </c>
      <c r="C63" s="3" t="s">
        <v>396</v>
      </c>
      <c r="D63" s="3" t="s">
        <v>26</v>
      </c>
      <c r="E63" s="3" t="s">
        <v>27</v>
      </c>
      <c r="F63" s="3" t="s">
        <v>28</v>
      </c>
      <c r="G63" s="3" t="s">
        <v>333</v>
      </c>
      <c r="H63" s="3" t="s">
        <v>428</v>
      </c>
      <c r="I63" s="3" t="s">
        <v>353</v>
      </c>
      <c r="J63" s="3">
        <v>3</v>
      </c>
      <c r="K63" s="3" t="s">
        <v>353</v>
      </c>
      <c r="L63" s="3" t="s">
        <v>336</v>
      </c>
      <c r="M63" s="3" t="s">
        <v>337</v>
      </c>
      <c r="N63" s="3" t="s">
        <v>336</v>
      </c>
      <c r="O63" s="3" t="s">
        <v>356</v>
      </c>
      <c r="P63" s="3" t="s">
        <v>339</v>
      </c>
      <c r="Q63" s="3" t="s">
        <v>347</v>
      </c>
      <c r="R63" s="3" t="s">
        <v>357</v>
      </c>
      <c r="S63" s="3" t="s">
        <v>348</v>
      </c>
      <c r="T63" s="3" t="s">
        <v>348</v>
      </c>
      <c r="U63" s="3" t="s">
        <v>361</v>
      </c>
      <c r="V63" s="3" t="s">
        <v>348</v>
      </c>
      <c r="W63" s="3" t="s">
        <v>390</v>
      </c>
    </row>
    <row r="64" spans="1:23" ht="24.75" customHeight="1" x14ac:dyDescent="0.35">
      <c r="A64" s="3" t="s">
        <v>208</v>
      </c>
      <c r="B64" s="3" t="s">
        <v>209</v>
      </c>
      <c r="C64" s="3" t="s">
        <v>42</v>
      </c>
      <c r="D64" s="3" t="s">
        <v>26</v>
      </c>
      <c r="E64" s="3" t="s">
        <v>27</v>
      </c>
      <c r="F64" s="3" t="s">
        <v>28</v>
      </c>
      <c r="G64" s="3" t="s">
        <v>333</v>
      </c>
      <c r="H64" s="3" t="s">
        <v>345</v>
      </c>
      <c r="I64" s="3" t="s">
        <v>353</v>
      </c>
      <c r="J64" s="3">
        <v>3</v>
      </c>
      <c r="K64" s="3" t="s">
        <v>335</v>
      </c>
      <c r="L64" s="3" t="s">
        <v>354</v>
      </c>
      <c r="M64" s="3" t="s">
        <v>337</v>
      </c>
      <c r="N64" s="3" t="s">
        <v>354</v>
      </c>
      <c r="O64" s="3" t="s">
        <v>359</v>
      </c>
      <c r="P64" s="3" t="s">
        <v>360</v>
      </c>
      <c r="Q64" s="3" t="s">
        <v>347</v>
      </c>
      <c r="R64" s="3" t="s">
        <v>357</v>
      </c>
      <c r="S64" s="3" t="s">
        <v>342</v>
      </c>
      <c r="T64" s="3" t="s">
        <v>342</v>
      </c>
      <c r="U64" s="3" t="s">
        <v>361</v>
      </c>
      <c r="V64" s="3" t="s">
        <v>342</v>
      </c>
      <c r="W64" s="3" t="s">
        <v>404</v>
      </c>
    </row>
    <row r="65" spans="1:23" ht="24.75" customHeight="1" x14ac:dyDescent="0.35">
      <c r="A65" s="3" t="s">
        <v>210</v>
      </c>
      <c r="B65" s="3" t="s">
        <v>211</v>
      </c>
      <c r="C65" s="3" t="s">
        <v>25</v>
      </c>
      <c r="D65" s="3" t="s">
        <v>134</v>
      </c>
      <c r="E65" s="3" t="s">
        <v>50</v>
      </c>
      <c r="F65" s="3" t="s">
        <v>28</v>
      </c>
      <c r="G65" s="3" t="s">
        <v>333</v>
      </c>
      <c r="H65" s="3" t="s">
        <v>345</v>
      </c>
      <c r="I65" s="3" t="s">
        <v>381</v>
      </c>
      <c r="J65" s="3">
        <v>4</v>
      </c>
      <c r="K65" s="3" t="s">
        <v>381</v>
      </c>
      <c r="L65" s="3" t="s">
        <v>354</v>
      </c>
      <c r="M65" s="3" t="s">
        <v>425</v>
      </c>
      <c r="N65" s="3" t="s">
        <v>354</v>
      </c>
      <c r="O65" s="3" t="s">
        <v>359</v>
      </c>
      <c r="P65" s="3" t="s">
        <v>360</v>
      </c>
      <c r="Q65" s="3" t="s">
        <v>370</v>
      </c>
      <c r="R65" s="3" t="s">
        <v>394</v>
      </c>
      <c r="S65" s="3" t="s">
        <v>348</v>
      </c>
      <c r="T65" s="3" t="s">
        <v>348</v>
      </c>
      <c r="U65" s="3" t="s">
        <v>349</v>
      </c>
      <c r="V65" s="3" t="s">
        <v>348</v>
      </c>
      <c r="W65" s="3" t="s">
        <v>404</v>
      </c>
    </row>
    <row r="66" spans="1:23" ht="24.75" customHeight="1" x14ac:dyDescent="0.35">
      <c r="A66" s="3" t="s">
        <v>212</v>
      </c>
      <c r="B66" s="3" t="s">
        <v>213</v>
      </c>
      <c r="C66" s="3" t="s">
        <v>177</v>
      </c>
      <c r="D66" s="3" t="s">
        <v>26</v>
      </c>
      <c r="E66" s="3" t="s">
        <v>27</v>
      </c>
      <c r="F66" s="3" t="s">
        <v>66</v>
      </c>
      <c r="G66" s="3" t="s">
        <v>333</v>
      </c>
      <c r="H66" s="3" t="s">
        <v>407</v>
      </c>
      <c r="I66" s="3" t="s">
        <v>346</v>
      </c>
      <c r="J66" s="3">
        <v>2</v>
      </c>
      <c r="K66" s="3" t="s">
        <v>335</v>
      </c>
      <c r="L66" s="3" t="s">
        <v>354</v>
      </c>
      <c r="M66" s="3" t="s">
        <v>429</v>
      </c>
      <c r="N66" s="3" t="s">
        <v>336</v>
      </c>
      <c r="O66" s="3" t="s">
        <v>410</v>
      </c>
      <c r="P66" s="3" t="s">
        <v>339</v>
      </c>
      <c r="Q66" s="3" t="s">
        <v>347</v>
      </c>
      <c r="R66" s="3" t="s">
        <v>341</v>
      </c>
      <c r="S66" s="3" t="s">
        <v>342</v>
      </c>
      <c r="T66" s="3" t="s">
        <v>342</v>
      </c>
      <c r="U66" s="3" t="s">
        <v>361</v>
      </c>
      <c r="V66" s="3" t="s">
        <v>342</v>
      </c>
      <c r="W66" s="3" t="s">
        <v>404</v>
      </c>
    </row>
    <row r="67" spans="1:23" ht="24.75" customHeight="1" x14ac:dyDescent="0.35">
      <c r="A67" s="3" t="s">
        <v>215</v>
      </c>
      <c r="B67" s="3" t="s">
        <v>216</v>
      </c>
      <c r="C67" s="3" t="s">
        <v>351</v>
      </c>
      <c r="D67" s="3" t="s">
        <v>26</v>
      </c>
      <c r="E67" s="3" t="s">
        <v>27</v>
      </c>
      <c r="F67" s="3" t="s">
        <v>62</v>
      </c>
      <c r="G67" s="3" t="s">
        <v>333</v>
      </c>
      <c r="H67" s="3" t="s">
        <v>399</v>
      </c>
      <c r="I67" s="3" t="s">
        <v>353</v>
      </c>
      <c r="J67" s="3">
        <v>3</v>
      </c>
      <c r="K67" s="3" t="s">
        <v>335</v>
      </c>
      <c r="L67" s="3" t="s">
        <v>354</v>
      </c>
      <c r="M67" s="3" t="s">
        <v>395</v>
      </c>
      <c r="N67" s="3" t="s">
        <v>336</v>
      </c>
      <c r="O67" s="3" t="s">
        <v>356</v>
      </c>
      <c r="P67" s="3" t="s">
        <v>339</v>
      </c>
      <c r="Q67" s="3" t="s">
        <v>347</v>
      </c>
      <c r="R67" s="3" t="s">
        <v>341</v>
      </c>
      <c r="S67" s="3" t="s">
        <v>342</v>
      </c>
      <c r="T67" s="3" t="s">
        <v>342</v>
      </c>
      <c r="U67" s="3" t="s">
        <v>343</v>
      </c>
      <c r="V67" s="3" t="s">
        <v>342</v>
      </c>
      <c r="W67" s="3" t="s">
        <v>362</v>
      </c>
    </row>
    <row r="68" spans="1:23" ht="24.75" customHeight="1" x14ac:dyDescent="0.35">
      <c r="A68" s="3" t="s">
        <v>217</v>
      </c>
      <c r="B68" s="3" t="s">
        <v>218</v>
      </c>
      <c r="C68" s="3" t="s">
        <v>42</v>
      </c>
      <c r="D68" s="3" t="s">
        <v>26</v>
      </c>
      <c r="E68" s="3" t="s">
        <v>50</v>
      </c>
      <c r="F68" s="3" t="s">
        <v>28</v>
      </c>
      <c r="G68" s="3" t="s">
        <v>333</v>
      </c>
      <c r="H68" s="3" t="s">
        <v>400</v>
      </c>
      <c r="I68" s="3" t="s">
        <v>335</v>
      </c>
      <c r="J68" s="3">
        <v>2</v>
      </c>
      <c r="K68" s="3" t="s">
        <v>346</v>
      </c>
      <c r="L68" s="3" t="s">
        <v>336</v>
      </c>
      <c r="M68" s="3" t="s">
        <v>337</v>
      </c>
      <c r="N68" s="3" t="s">
        <v>336</v>
      </c>
      <c r="O68" s="3" t="s">
        <v>359</v>
      </c>
      <c r="P68" s="3" t="s">
        <v>339</v>
      </c>
      <c r="Q68" s="3" t="s">
        <v>340</v>
      </c>
      <c r="R68" s="3" t="s">
        <v>341</v>
      </c>
      <c r="S68" s="3" t="s">
        <v>342</v>
      </c>
      <c r="T68" s="3" t="s">
        <v>342</v>
      </c>
      <c r="U68" s="3" t="s">
        <v>361</v>
      </c>
      <c r="V68" s="3" t="s">
        <v>348</v>
      </c>
      <c r="W68" s="3" t="s">
        <v>362</v>
      </c>
    </row>
    <row r="69" spans="1:23" ht="24.75" customHeight="1" x14ac:dyDescent="0.35">
      <c r="A69" s="3" t="s">
        <v>219</v>
      </c>
      <c r="B69" s="3" t="s">
        <v>220</v>
      </c>
      <c r="C69" s="3" t="s">
        <v>42</v>
      </c>
      <c r="D69" s="3" t="s">
        <v>134</v>
      </c>
      <c r="E69" s="3" t="s">
        <v>27</v>
      </c>
      <c r="F69" s="3" t="s">
        <v>62</v>
      </c>
      <c r="G69" s="3" t="s">
        <v>333</v>
      </c>
      <c r="H69" s="3" t="s">
        <v>400</v>
      </c>
      <c r="I69" s="3" t="s">
        <v>353</v>
      </c>
      <c r="J69" s="3">
        <v>3</v>
      </c>
      <c r="K69" s="3" t="s">
        <v>353</v>
      </c>
      <c r="L69" s="3" t="s">
        <v>354</v>
      </c>
      <c r="M69" s="3" t="s">
        <v>385</v>
      </c>
      <c r="N69" s="3" t="s">
        <v>354</v>
      </c>
      <c r="O69" s="3" t="s">
        <v>338</v>
      </c>
      <c r="P69" s="3" t="s">
        <v>339</v>
      </c>
      <c r="Q69" s="3" t="s">
        <v>347</v>
      </c>
      <c r="R69" s="3" t="s">
        <v>357</v>
      </c>
      <c r="S69" s="3" t="s">
        <v>348</v>
      </c>
      <c r="T69" s="3" t="s">
        <v>342</v>
      </c>
      <c r="U69" s="3" t="s">
        <v>361</v>
      </c>
      <c r="V69" s="3" t="s">
        <v>342</v>
      </c>
      <c r="W69" s="3" t="s">
        <v>362</v>
      </c>
    </row>
    <row r="70" spans="1:23" ht="24.75" customHeight="1" x14ac:dyDescent="0.35">
      <c r="A70" s="3" t="s">
        <v>221</v>
      </c>
      <c r="B70" s="3" t="s">
        <v>222</v>
      </c>
      <c r="C70" s="3" t="s">
        <v>42</v>
      </c>
      <c r="D70" s="3" t="s">
        <v>26</v>
      </c>
      <c r="E70" s="3" t="s">
        <v>50</v>
      </c>
      <c r="F70" s="3" t="s">
        <v>28</v>
      </c>
      <c r="G70" s="3" t="s">
        <v>333</v>
      </c>
      <c r="H70" s="3" t="s">
        <v>345</v>
      </c>
      <c r="I70" s="3" t="s">
        <v>353</v>
      </c>
      <c r="J70" s="3">
        <v>2</v>
      </c>
      <c r="K70" s="3" t="s">
        <v>335</v>
      </c>
      <c r="L70" s="3" t="s">
        <v>354</v>
      </c>
      <c r="M70" s="3" t="s">
        <v>337</v>
      </c>
      <c r="N70" s="3" t="s">
        <v>336</v>
      </c>
      <c r="O70" s="3" t="s">
        <v>359</v>
      </c>
      <c r="P70" s="3" t="s">
        <v>360</v>
      </c>
      <c r="Q70" s="3" t="s">
        <v>347</v>
      </c>
      <c r="R70" s="3" t="s">
        <v>357</v>
      </c>
      <c r="S70" s="3" t="s">
        <v>342</v>
      </c>
      <c r="T70" s="3"/>
      <c r="U70" s="3" t="s">
        <v>361</v>
      </c>
      <c r="V70" s="3" t="s">
        <v>348</v>
      </c>
      <c r="W70" s="3" t="s">
        <v>404</v>
      </c>
    </row>
    <row r="71" spans="1:23" ht="24.75" customHeight="1" x14ac:dyDescent="0.35">
      <c r="A71" s="3" t="s">
        <v>223</v>
      </c>
      <c r="B71" s="3" t="s">
        <v>224</v>
      </c>
      <c r="C71" s="3" t="s">
        <v>363</v>
      </c>
      <c r="D71" s="3" t="s">
        <v>134</v>
      </c>
      <c r="E71" s="3" t="s">
        <v>364</v>
      </c>
      <c r="F71" s="3" t="s">
        <v>28</v>
      </c>
      <c r="G71" s="3" t="s">
        <v>333</v>
      </c>
      <c r="H71" s="3" t="s">
        <v>400</v>
      </c>
      <c r="I71" s="3" t="s">
        <v>353</v>
      </c>
      <c r="J71" s="3">
        <v>3</v>
      </c>
      <c r="K71" s="3" t="s">
        <v>381</v>
      </c>
      <c r="L71" s="3" t="s">
        <v>415</v>
      </c>
      <c r="M71" s="3" t="s">
        <v>337</v>
      </c>
      <c r="N71" s="3" t="s">
        <v>415</v>
      </c>
      <c r="O71" s="3" t="s">
        <v>359</v>
      </c>
      <c r="P71" s="3" t="s">
        <v>360</v>
      </c>
      <c r="Q71" s="3" t="s">
        <v>347</v>
      </c>
      <c r="R71" s="3" t="s">
        <v>341</v>
      </c>
      <c r="S71" s="3" t="s">
        <v>342</v>
      </c>
      <c r="T71" s="3" t="s">
        <v>348</v>
      </c>
      <c r="U71" s="3" t="s">
        <v>343</v>
      </c>
      <c r="V71" s="3" t="s">
        <v>342</v>
      </c>
      <c r="W71" s="3" t="s">
        <v>377</v>
      </c>
    </row>
    <row r="72" spans="1:23" ht="24.75" customHeight="1" x14ac:dyDescent="0.35">
      <c r="A72" s="3" t="s">
        <v>226</v>
      </c>
      <c r="B72" s="3" t="s">
        <v>227</v>
      </c>
      <c r="C72" s="3" t="s">
        <v>363</v>
      </c>
      <c r="D72" s="3" t="s">
        <v>26</v>
      </c>
      <c r="E72" s="3" t="s">
        <v>364</v>
      </c>
      <c r="F72" s="3" t="s">
        <v>28</v>
      </c>
      <c r="G72" s="3" t="s">
        <v>333</v>
      </c>
      <c r="H72" s="3" t="s">
        <v>389</v>
      </c>
      <c r="I72" s="3" t="s">
        <v>335</v>
      </c>
      <c r="J72" s="3">
        <v>2</v>
      </c>
      <c r="K72" s="3" t="s">
        <v>353</v>
      </c>
      <c r="L72" s="3" t="s">
        <v>354</v>
      </c>
      <c r="M72" s="3" t="s">
        <v>385</v>
      </c>
      <c r="N72" s="3" t="s">
        <v>336</v>
      </c>
      <c r="O72" s="3" t="s">
        <v>338</v>
      </c>
      <c r="P72" s="3" t="s">
        <v>360</v>
      </c>
      <c r="Q72" s="3" t="s">
        <v>370</v>
      </c>
      <c r="R72" s="3" t="s">
        <v>357</v>
      </c>
      <c r="S72" s="3" t="s">
        <v>342</v>
      </c>
      <c r="T72" s="3" t="s">
        <v>348</v>
      </c>
      <c r="U72" s="3" t="s">
        <v>361</v>
      </c>
      <c r="V72" s="3" t="s">
        <v>348</v>
      </c>
      <c r="W72" s="3" t="s">
        <v>371</v>
      </c>
    </row>
    <row r="73" spans="1:23" ht="24.75" customHeight="1" x14ac:dyDescent="0.35">
      <c r="A73" s="3" t="s">
        <v>228</v>
      </c>
      <c r="B73" s="3" t="s">
        <v>229</v>
      </c>
      <c r="C73" s="3" t="s">
        <v>42</v>
      </c>
      <c r="D73" s="3" t="s">
        <v>26</v>
      </c>
      <c r="E73" s="3" t="s">
        <v>27</v>
      </c>
      <c r="F73" s="3" t="s">
        <v>66</v>
      </c>
      <c r="G73" s="3" t="s">
        <v>333</v>
      </c>
      <c r="H73" s="3" t="s">
        <v>430</v>
      </c>
      <c r="I73" s="3" t="s">
        <v>346</v>
      </c>
      <c r="J73" s="3">
        <v>3</v>
      </c>
      <c r="K73" s="3" t="s">
        <v>346</v>
      </c>
      <c r="L73" s="3" t="s">
        <v>354</v>
      </c>
      <c r="M73" s="3" t="s">
        <v>337</v>
      </c>
      <c r="N73" s="3" t="s">
        <v>333</v>
      </c>
      <c r="O73" s="3" t="s">
        <v>356</v>
      </c>
      <c r="P73" s="3" t="s">
        <v>406</v>
      </c>
      <c r="Q73" s="3" t="s">
        <v>401</v>
      </c>
      <c r="R73" s="3" t="s">
        <v>341</v>
      </c>
      <c r="S73" s="3" t="s">
        <v>342</v>
      </c>
      <c r="T73" s="3" t="s">
        <v>342</v>
      </c>
      <c r="U73" s="3" t="s">
        <v>374</v>
      </c>
      <c r="V73" s="3" t="s">
        <v>342</v>
      </c>
      <c r="W73" s="3" t="s">
        <v>408</v>
      </c>
    </row>
    <row r="74" spans="1:23" ht="24.75" customHeight="1" x14ac:dyDescent="0.35">
      <c r="A74" s="3" t="s">
        <v>230</v>
      </c>
      <c r="B74" s="3" t="s">
        <v>231</v>
      </c>
      <c r="C74" s="3" t="s">
        <v>42</v>
      </c>
      <c r="D74" s="3" t="s">
        <v>26</v>
      </c>
      <c r="E74" s="3" t="s">
        <v>50</v>
      </c>
      <c r="F74" s="3" t="s">
        <v>28</v>
      </c>
      <c r="G74" s="3" t="s">
        <v>333</v>
      </c>
      <c r="H74" s="3" t="s">
        <v>414</v>
      </c>
      <c r="I74" s="3" t="s">
        <v>346</v>
      </c>
      <c r="J74" s="3">
        <v>1</v>
      </c>
      <c r="K74" s="3" t="s">
        <v>346</v>
      </c>
      <c r="L74" s="3" t="s">
        <v>368</v>
      </c>
      <c r="M74" s="3" t="s">
        <v>337</v>
      </c>
      <c r="N74" s="3" t="s">
        <v>333</v>
      </c>
      <c r="O74" s="3" t="s">
        <v>359</v>
      </c>
      <c r="P74" s="3" t="s">
        <v>339</v>
      </c>
      <c r="Q74" s="3" t="s">
        <v>401</v>
      </c>
      <c r="R74" s="3" t="s">
        <v>341</v>
      </c>
      <c r="S74" s="3" t="s">
        <v>342</v>
      </c>
      <c r="T74" s="3" t="s">
        <v>348</v>
      </c>
      <c r="U74" s="3" t="s">
        <v>361</v>
      </c>
      <c r="V74" s="3" t="s">
        <v>348</v>
      </c>
      <c r="W74" s="3" t="s">
        <v>408</v>
      </c>
    </row>
    <row r="75" spans="1:23" ht="24.75" customHeight="1" x14ac:dyDescent="0.35">
      <c r="A75" s="3" t="s">
        <v>232</v>
      </c>
      <c r="B75" s="3" t="s">
        <v>233</v>
      </c>
      <c r="C75" s="3" t="s">
        <v>42</v>
      </c>
      <c r="D75" s="3" t="s">
        <v>26</v>
      </c>
      <c r="E75" s="3" t="s">
        <v>50</v>
      </c>
      <c r="F75" s="3" t="s">
        <v>62</v>
      </c>
      <c r="G75" s="3" t="s">
        <v>333</v>
      </c>
      <c r="H75" s="3" t="s">
        <v>418</v>
      </c>
      <c r="I75" s="3" t="s">
        <v>353</v>
      </c>
      <c r="J75" s="3">
        <v>3</v>
      </c>
      <c r="K75" s="3" t="s">
        <v>353</v>
      </c>
      <c r="L75" s="3" t="s">
        <v>336</v>
      </c>
      <c r="M75" s="3" t="s">
        <v>337</v>
      </c>
      <c r="N75" s="3" t="s">
        <v>354</v>
      </c>
      <c r="O75" s="3" t="s">
        <v>359</v>
      </c>
      <c r="P75" s="3" t="s">
        <v>339</v>
      </c>
      <c r="Q75" s="3" t="s">
        <v>347</v>
      </c>
      <c r="R75" s="3" t="s">
        <v>394</v>
      </c>
      <c r="S75" s="3" t="s">
        <v>348</v>
      </c>
      <c r="T75" s="3" t="s">
        <v>342</v>
      </c>
      <c r="U75" s="3" t="s">
        <v>374</v>
      </c>
      <c r="V75" s="3" t="s">
        <v>348</v>
      </c>
      <c r="W75" s="3" t="s">
        <v>404</v>
      </c>
    </row>
    <row r="76" spans="1:23" ht="24.75" customHeight="1" x14ac:dyDescent="0.35">
      <c r="A76" s="3" t="s">
        <v>234</v>
      </c>
      <c r="B76" s="3" t="s">
        <v>235</v>
      </c>
      <c r="C76" s="3" t="s">
        <v>25</v>
      </c>
      <c r="D76" s="3" t="s">
        <v>26</v>
      </c>
      <c r="E76" s="3" t="s">
        <v>27</v>
      </c>
      <c r="F76" s="3" t="s">
        <v>28</v>
      </c>
      <c r="G76" s="3" t="s">
        <v>333</v>
      </c>
      <c r="H76" s="3" t="s">
        <v>418</v>
      </c>
      <c r="I76" s="3" t="s">
        <v>346</v>
      </c>
      <c r="J76" s="3">
        <v>4</v>
      </c>
      <c r="K76" s="3" t="s">
        <v>346</v>
      </c>
      <c r="L76" s="3" t="s">
        <v>368</v>
      </c>
      <c r="M76" s="3" t="s">
        <v>337</v>
      </c>
      <c r="N76" s="3" t="s">
        <v>333</v>
      </c>
      <c r="O76" s="3" t="s">
        <v>359</v>
      </c>
      <c r="P76" s="3" t="s">
        <v>417</v>
      </c>
      <c r="Q76" s="3" t="s">
        <v>340</v>
      </c>
      <c r="R76" s="3" t="s">
        <v>341</v>
      </c>
      <c r="S76" s="3" t="s">
        <v>342</v>
      </c>
      <c r="T76" s="3" t="s">
        <v>342</v>
      </c>
      <c r="U76" s="3" t="s">
        <v>361</v>
      </c>
      <c r="V76" s="3" t="s">
        <v>348</v>
      </c>
      <c r="W76" s="3" t="s">
        <v>420</v>
      </c>
    </row>
    <row r="77" spans="1:23" ht="24.75" customHeight="1" x14ac:dyDescent="0.35">
      <c r="A77" s="3" t="s">
        <v>236</v>
      </c>
      <c r="B77" s="3" t="s">
        <v>237</v>
      </c>
      <c r="C77" s="3" t="s">
        <v>396</v>
      </c>
      <c r="D77" s="3" t="s">
        <v>26</v>
      </c>
      <c r="E77" s="3" t="s">
        <v>27</v>
      </c>
      <c r="F77" s="3" t="s">
        <v>28</v>
      </c>
      <c r="G77" s="3" t="s">
        <v>333</v>
      </c>
      <c r="H77" s="3" t="s">
        <v>431</v>
      </c>
      <c r="I77" s="3" t="s">
        <v>335</v>
      </c>
      <c r="J77" s="3">
        <v>3</v>
      </c>
      <c r="K77" s="3" t="s">
        <v>353</v>
      </c>
      <c r="L77" s="3" t="s">
        <v>354</v>
      </c>
      <c r="M77" s="3" t="s">
        <v>412</v>
      </c>
      <c r="N77" s="3" t="s">
        <v>354</v>
      </c>
      <c r="O77" s="3" t="s">
        <v>356</v>
      </c>
      <c r="P77" s="3" t="s">
        <v>339</v>
      </c>
      <c r="Q77" s="3" t="s">
        <v>347</v>
      </c>
      <c r="R77" s="3" t="s">
        <v>357</v>
      </c>
      <c r="S77" s="3" t="s">
        <v>342</v>
      </c>
      <c r="T77" s="3" t="s">
        <v>342</v>
      </c>
      <c r="U77" s="3" t="s">
        <v>343</v>
      </c>
      <c r="V77" s="3" t="s">
        <v>348</v>
      </c>
      <c r="W77" s="3" t="s">
        <v>371</v>
      </c>
    </row>
    <row r="78" spans="1:23" ht="24.75" customHeight="1" x14ac:dyDescent="0.35">
      <c r="A78" s="3" t="s">
        <v>239</v>
      </c>
      <c r="B78" s="3" t="s">
        <v>240</v>
      </c>
      <c r="C78" s="3" t="s">
        <v>363</v>
      </c>
      <c r="D78" s="3" t="s">
        <v>26</v>
      </c>
      <c r="E78" s="3" t="s">
        <v>364</v>
      </c>
      <c r="F78" s="3" t="s">
        <v>28</v>
      </c>
      <c r="G78" s="3" t="s">
        <v>333</v>
      </c>
      <c r="H78" s="3" t="s">
        <v>399</v>
      </c>
      <c r="I78" s="3" t="s">
        <v>335</v>
      </c>
      <c r="J78" s="3">
        <v>2</v>
      </c>
      <c r="K78" s="3" t="s">
        <v>353</v>
      </c>
      <c r="L78" s="3" t="s">
        <v>354</v>
      </c>
      <c r="M78" s="3" t="s">
        <v>369</v>
      </c>
      <c r="N78" s="3" t="s">
        <v>354</v>
      </c>
      <c r="O78" s="3" t="s">
        <v>410</v>
      </c>
      <c r="P78" s="3" t="s">
        <v>339</v>
      </c>
      <c r="Q78" s="3" t="s">
        <v>347</v>
      </c>
      <c r="R78" s="3" t="s">
        <v>341</v>
      </c>
      <c r="S78" s="3" t="s">
        <v>342</v>
      </c>
      <c r="T78" s="3" t="s">
        <v>342</v>
      </c>
      <c r="U78" s="3" t="s">
        <v>374</v>
      </c>
      <c r="V78" s="3" t="s">
        <v>342</v>
      </c>
      <c r="W78" s="3" t="s">
        <v>350</v>
      </c>
    </row>
    <row r="79" spans="1:23" ht="24.75" customHeight="1" x14ac:dyDescent="0.35">
      <c r="A79" s="3" t="s">
        <v>241</v>
      </c>
      <c r="B79" s="3" t="s">
        <v>242</v>
      </c>
      <c r="C79" s="3" t="s">
        <v>42</v>
      </c>
      <c r="D79" s="3" t="s">
        <v>26</v>
      </c>
      <c r="E79" s="3" t="s">
        <v>27</v>
      </c>
      <c r="F79" s="3" t="s">
        <v>28</v>
      </c>
      <c r="G79" s="3" t="s">
        <v>333</v>
      </c>
      <c r="H79" s="3" t="s">
        <v>382</v>
      </c>
      <c r="I79" s="3" t="s">
        <v>346</v>
      </c>
      <c r="J79" s="3">
        <v>1</v>
      </c>
      <c r="K79" s="3" t="s">
        <v>346</v>
      </c>
      <c r="L79" s="3" t="s">
        <v>368</v>
      </c>
      <c r="M79" s="3" t="s">
        <v>376</v>
      </c>
      <c r="N79" s="3" t="s">
        <v>333</v>
      </c>
      <c r="O79" s="3" t="s">
        <v>338</v>
      </c>
      <c r="P79" s="3" t="s">
        <v>339</v>
      </c>
      <c r="Q79" s="3" t="s">
        <v>401</v>
      </c>
      <c r="R79" s="3" t="s">
        <v>341</v>
      </c>
      <c r="S79" s="3" t="s">
        <v>342</v>
      </c>
      <c r="T79" s="3" t="s">
        <v>342</v>
      </c>
      <c r="U79" s="3" t="s">
        <v>374</v>
      </c>
      <c r="V79" s="3" t="s">
        <v>342</v>
      </c>
      <c r="W79" s="3" t="s">
        <v>371</v>
      </c>
    </row>
    <row r="80" spans="1:23" ht="24.75" customHeight="1" x14ac:dyDescent="0.35">
      <c r="A80" s="3" t="s">
        <v>243</v>
      </c>
      <c r="B80" s="3" t="s">
        <v>244</v>
      </c>
      <c r="C80" s="3" t="s">
        <v>42</v>
      </c>
      <c r="D80" s="3" t="s">
        <v>26</v>
      </c>
      <c r="E80" s="3" t="s">
        <v>50</v>
      </c>
      <c r="F80" s="3" t="s">
        <v>28</v>
      </c>
      <c r="G80" s="3" t="s">
        <v>333</v>
      </c>
      <c r="H80" s="3" t="s">
        <v>432</v>
      </c>
      <c r="I80" s="3" t="s">
        <v>346</v>
      </c>
      <c r="J80" s="3">
        <v>2</v>
      </c>
      <c r="K80" s="3" t="s">
        <v>335</v>
      </c>
      <c r="L80" s="3" t="s">
        <v>349</v>
      </c>
      <c r="M80" s="3" t="s">
        <v>355</v>
      </c>
      <c r="N80" s="3" t="s">
        <v>333</v>
      </c>
      <c r="O80" s="3" t="s">
        <v>410</v>
      </c>
      <c r="P80" s="3" t="s">
        <v>360</v>
      </c>
      <c r="Q80" s="3" t="s">
        <v>401</v>
      </c>
      <c r="R80" s="3" t="s">
        <v>341</v>
      </c>
      <c r="S80" s="3" t="s">
        <v>342</v>
      </c>
      <c r="T80" s="3" t="s">
        <v>342</v>
      </c>
      <c r="U80" s="3" t="s">
        <v>374</v>
      </c>
      <c r="V80" s="3" t="s">
        <v>348</v>
      </c>
      <c r="W80" s="3" t="s">
        <v>391</v>
      </c>
    </row>
    <row r="81" spans="1:23" ht="24.75" customHeight="1" x14ac:dyDescent="0.35">
      <c r="A81" s="3" t="s">
        <v>245</v>
      </c>
      <c r="B81" s="3" t="s">
        <v>246</v>
      </c>
      <c r="C81" s="3" t="s">
        <v>42</v>
      </c>
      <c r="D81" s="3" t="s">
        <v>109</v>
      </c>
      <c r="E81" s="3" t="s">
        <v>27</v>
      </c>
      <c r="F81" s="3" t="s">
        <v>28</v>
      </c>
      <c r="G81" s="3" t="s">
        <v>333</v>
      </c>
      <c r="H81" s="3" t="s">
        <v>389</v>
      </c>
      <c r="I81" s="3" t="s">
        <v>335</v>
      </c>
      <c r="J81" s="3">
        <v>2</v>
      </c>
      <c r="K81" s="3" t="s">
        <v>353</v>
      </c>
      <c r="L81" s="3" t="s">
        <v>415</v>
      </c>
      <c r="M81" s="3" t="s">
        <v>337</v>
      </c>
      <c r="N81" s="3" t="s">
        <v>354</v>
      </c>
      <c r="O81" s="3" t="s">
        <v>356</v>
      </c>
      <c r="P81" s="3" t="s">
        <v>360</v>
      </c>
      <c r="Q81" s="3" t="s">
        <v>340</v>
      </c>
      <c r="R81" s="3" t="s">
        <v>357</v>
      </c>
      <c r="S81" s="3" t="s">
        <v>342</v>
      </c>
      <c r="T81" s="3" t="s">
        <v>342</v>
      </c>
      <c r="U81" s="3" t="s">
        <v>343</v>
      </c>
      <c r="V81" s="3" t="s">
        <v>342</v>
      </c>
      <c r="W81" s="3" t="s">
        <v>362</v>
      </c>
    </row>
    <row r="82" spans="1:23" ht="24.75" customHeight="1" x14ac:dyDescent="0.35">
      <c r="A82" s="3" t="s">
        <v>247</v>
      </c>
      <c r="B82" s="3" t="s">
        <v>248</v>
      </c>
      <c r="C82" s="3" t="s">
        <v>42</v>
      </c>
      <c r="D82" s="3" t="s">
        <v>26</v>
      </c>
      <c r="E82" s="3" t="s">
        <v>27</v>
      </c>
      <c r="F82" s="3" t="s">
        <v>28</v>
      </c>
      <c r="G82" s="3" t="s">
        <v>333</v>
      </c>
      <c r="H82" s="3" t="s">
        <v>433</v>
      </c>
      <c r="I82" s="3" t="s">
        <v>335</v>
      </c>
      <c r="J82" s="3">
        <v>3</v>
      </c>
      <c r="K82" s="3" t="s">
        <v>335</v>
      </c>
      <c r="L82" s="3" t="s">
        <v>415</v>
      </c>
      <c r="M82" s="3" t="s">
        <v>337</v>
      </c>
      <c r="N82" s="3" t="s">
        <v>336</v>
      </c>
      <c r="O82" s="3" t="s">
        <v>359</v>
      </c>
      <c r="P82" s="3" t="s">
        <v>360</v>
      </c>
      <c r="Q82" s="3" t="s">
        <v>401</v>
      </c>
      <c r="R82" s="3" t="s">
        <v>419</v>
      </c>
      <c r="S82" s="3" t="s">
        <v>342</v>
      </c>
      <c r="T82" s="3" t="s">
        <v>342</v>
      </c>
      <c r="U82" s="3" t="s">
        <v>361</v>
      </c>
      <c r="V82" s="3" t="s">
        <v>342</v>
      </c>
      <c r="W82" s="3" t="s">
        <v>420</v>
      </c>
    </row>
    <row r="83" spans="1:23" ht="24.75" customHeight="1" x14ac:dyDescent="0.35">
      <c r="A83" s="3" t="s">
        <v>249</v>
      </c>
      <c r="B83" s="3" t="s">
        <v>250</v>
      </c>
      <c r="C83" s="3" t="s">
        <v>42</v>
      </c>
      <c r="D83" s="3" t="s">
        <v>26</v>
      </c>
      <c r="E83" s="3" t="s">
        <v>27</v>
      </c>
      <c r="F83" s="3" t="s">
        <v>28</v>
      </c>
      <c r="G83" s="3" t="s">
        <v>333</v>
      </c>
      <c r="H83" s="3" t="s">
        <v>432</v>
      </c>
      <c r="I83" s="3" t="s">
        <v>346</v>
      </c>
      <c r="J83" s="3">
        <v>1</v>
      </c>
      <c r="K83" s="3" t="s">
        <v>346</v>
      </c>
      <c r="L83" s="3" t="s">
        <v>368</v>
      </c>
      <c r="M83" s="3" t="s">
        <v>366</v>
      </c>
      <c r="N83" s="3" t="s">
        <v>333</v>
      </c>
      <c r="O83" s="3" t="s">
        <v>359</v>
      </c>
      <c r="P83" s="3" t="s">
        <v>417</v>
      </c>
      <c r="Q83" s="3" t="s">
        <v>401</v>
      </c>
      <c r="R83" s="3" t="s">
        <v>341</v>
      </c>
      <c r="S83" s="3" t="s">
        <v>342</v>
      </c>
      <c r="T83" s="3" t="s">
        <v>342</v>
      </c>
      <c r="U83" s="3" t="s">
        <v>361</v>
      </c>
      <c r="V83" s="3" t="s">
        <v>348</v>
      </c>
      <c r="W83" s="3" t="s">
        <v>434</v>
      </c>
    </row>
    <row r="84" spans="1:23" ht="24.75" customHeight="1" x14ac:dyDescent="0.35">
      <c r="A84" s="3" t="s">
        <v>251</v>
      </c>
      <c r="B84" s="3" t="s">
        <v>252</v>
      </c>
      <c r="C84" s="3" t="s">
        <v>42</v>
      </c>
      <c r="D84" s="3" t="s">
        <v>49</v>
      </c>
      <c r="E84" s="3" t="s">
        <v>27</v>
      </c>
      <c r="F84" s="3" t="s">
        <v>28</v>
      </c>
      <c r="G84" s="3" t="s">
        <v>333</v>
      </c>
      <c r="H84" s="3" t="s">
        <v>422</v>
      </c>
      <c r="I84" s="3" t="s">
        <v>353</v>
      </c>
      <c r="J84" s="3">
        <v>2</v>
      </c>
      <c r="K84" s="3" t="s">
        <v>353</v>
      </c>
      <c r="L84" s="3" t="s">
        <v>368</v>
      </c>
      <c r="M84" s="3" t="s">
        <v>337</v>
      </c>
      <c r="N84" s="3" t="s">
        <v>336</v>
      </c>
      <c r="O84" s="3" t="s">
        <v>359</v>
      </c>
      <c r="P84" s="3" t="s">
        <v>339</v>
      </c>
      <c r="Q84" s="3" t="s">
        <v>347</v>
      </c>
      <c r="R84" s="3" t="s">
        <v>394</v>
      </c>
      <c r="S84" s="3" t="s">
        <v>342</v>
      </c>
      <c r="T84" s="3" t="s">
        <v>342</v>
      </c>
      <c r="U84" s="3" t="s">
        <v>361</v>
      </c>
      <c r="V84" s="3" t="s">
        <v>342</v>
      </c>
      <c r="W84" s="3" t="s">
        <v>404</v>
      </c>
    </row>
    <row r="85" spans="1:23" ht="24.75" customHeight="1" x14ac:dyDescent="0.35">
      <c r="A85" s="3" t="s">
        <v>253</v>
      </c>
      <c r="B85" s="3" t="s">
        <v>254</v>
      </c>
      <c r="C85" s="3" t="s">
        <v>351</v>
      </c>
      <c r="D85" s="3" t="s">
        <v>26</v>
      </c>
      <c r="E85" s="3" t="s">
        <v>27</v>
      </c>
      <c r="F85" s="3" t="s">
        <v>28</v>
      </c>
      <c r="G85" s="3" t="s">
        <v>333</v>
      </c>
      <c r="H85" s="3" t="s">
        <v>399</v>
      </c>
      <c r="I85" s="3" t="s">
        <v>335</v>
      </c>
      <c r="J85" s="3">
        <v>2</v>
      </c>
      <c r="K85" s="3" t="s">
        <v>335</v>
      </c>
      <c r="L85" s="3" t="s">
        <v>336</v>
      </c>
      <c r="M85" s="3" t="s">
        <v>385</v>
      </c>
      <c r="N85" s="3" t="s">
        <v>336</v>
      </c>
      <c r="O85" s="3" t="s">
        <v>356</v>
      </c>
      <c r="P85" s="3" t="s">
        <v>339</v>
      </c>
      <c r="Q85" s="3" t="s">
        <v>340</v>
      </c>
      <c r="R85" s="3" t="s">
        <v>357</v>
      </c>
      <c r="S85" s="3" t="s">
        <v>342</v>
      </c>
      <c r="T85" s="3" t="s">
        <v>342</v>
      </c>
      <c r="U85" s="3" t="s">
        <v>374</v>
      </c>
      <c r="V85" s="3" t="s">
        <v>342</v>
      </c>
      <c r="W85" s="3" t="s">
        <v>362</v>
      </c>
    </row>
    <row r="86" spans="1:23" ht="24.75" customHeight="1" x14ac:dyDescent="0.35">
      <c r="A86" s="3" t="s">
        <v>255</v>
      </c>
      <c r="B86" s="3" t="s">
        <v>256</v>
      </c>
      <c r="C86" s="3" t="s">
        <v>351</v>
      </c>
      <c r="D86" s="3" t="s">
        <v>26</v>
      </c>
      <c r="E86" s="3" t="s">
        <v>27</v>
      </c>
      <c r="F86" s="3" t="s">
        <v>62</v>
      </c>
      <c r="G86" s="3" t="s">
        <v>333</v>
      </c>
      <c r="H86" s="3" t="s">
        <v>345</v>
      </c>
      <c r="I86" s="3" t="s">
        <v>346</v>
      </c>
      <c r="J86" s="3">
        <v>2</v>
      </c>
      <c r="K86" s="3" t="s">
        <v>335</v>
      </c>
      <c r="L86" s="3" t="s">
        <v>336</v>
      </c>
      <c r="M86" s="3" t="s">
        <v>337</v>
      </c>
      <c r="N86" s="3" t="s">
        <v>336</v>
      </c>
      <c r="O86" s="3" t="s">
        <v>359</v>
      </c>
      <c r="P86" s="3" t="s">
        <v>339</v>
      </c>
      <c r="Q86" s="3" t="s">
        <v>347</v>
      </c>
      <c r="R86" s="3" t="s">
        <v>357</v>
      </c>
      <c r="S86" s="3" t="s">
        <v>348</v>
      </c>
      <c r="T86" s="3" t="s">
        <v>348</v>
      </c>
      <c r="U86" s="3" t="s">
        <v>374</v>
      </c>
      <c r="V86" s="3" t="s">
        <v>342</v>
      </c>
      <c r="W86" s="3" t="s">
        <v>377</v>
      </c>
    </row>
    <row r="87" spans="1:23" ht="24.75" customHeight="1" x14ac:dyDescent="0.35">
      <c r="A87" s="3" t="s">
        <v>257</v>
      </c>
      <c r="B87" s="3" t="s">
        <v>258</v>
      </c>
      <c r="C87" s="3" t="s">
        <v>351</v>
      </c>
      <c r="D87" s="3" t="s">
        <v>26</v>
      </c>
      <c r="E87" s="3" t="s">
        <v>27</v>
      </c>
      <c r="F87" s="3" t="s">
        <v>28</v>
      </c>
      <c r="G87" s="3" t="s">
        <v>333</v>
      </c>
      <c r="H87" s="3" t="s">
        <v>384</v>
      </c>
      <c r="I87" s="3" t="s">
        <v>346</v>
      </c>
      <c r="J87" s="3">
        <v>2</v>
      </c>
      <c r="K87" s="3" t="s">
        <v>346</v>
      </c>
      <c r="L87" s="3" t="s">
        <v>415</v>
      </c>
      <c r="M87" s="3" t="s">
        <v>385</v>
      </c>
      <c r="N87" s="3" t="s">
        <v>336</v>
      </c>
      <c r="O87" s="3" t="s">
        <v>356</v>
      </c>
      <c r="P87" s="3" t="s">
        <v>417</v>
      </c>
      <c r="Q87" s="3" t="s">
        <v>347</v>
      </c>
      <c r="R87" s="3" t="s">
        <v>394</v>
      </c>
      <c r="S87" s="3" t="s">
        <v>342</v>
      </c>
      <c r="T87" s="3" t="s">
        <v>342</v>
      </c>
      <c r="U87" s="3" t="s">
        <v>343</v>
      </c>
      <c r="V87" s="3" t="s">
        <v>342</v>
      </c>
      <c r="W87" s="3" t="s">
        <v>344</v>
      </c>
    </row>
    <row r="88" spans="1:23" ht="24.75" customHeight="1" x14ac:dyDescent="0.35">
      <c r="A88" s="3" t="s">
        <v>259</v>
      </c>
      <c r="B88" s="3" t="s">
        <v>260</v>
      </c>
      <c r="C88" s="3" t="s">
        <v>42</v>
      </c>
      <c r="D88" s="3" t="s">
        <v>76</v>
      </c>
      <c r="E88" s="3" t="s">
        <v>50</v>
      </c>
      <c r="F88" s="3" t="s">
        <v>28</v>
      </c>
      <c r="G88" s="3" t="s">
        <v>333</v>
      </c>
      <c r="H88" s="3" t="s">
        <v>400</v>
      </c>
      <c r="I88" s="3" t="s">
        <v>346</v>
      </c>
      <c r="J88" s="3">
        <v>3</v>
      </c>
      <c r="K88" s="3" t="s">
        <v>335</v>
      </c>
      <c r="L88" s="3" t="s">
        <v>336</v>
      </c>
      <c r="M88" s="3" t="s">
        <v>337</v>
      </c>
      <c r="N88" s="3" t="s">
        <v>336</v>
      </c>
      <c r="O88" s="3" t="s">
        <v>410</v>
      </c>
      <c r="P88" s="3" t="s">
        <v>360</v>
      </c>
      <c r="Q88" s="3" t="s">
        <v>401</v>
      </c>
      <c r="R88" s="3" t="s">
        <v>394</v>
      </c>
      <c r="S88" s="3" t="s">
        <v>342</v>
      </c>
      <c r="T88" s="3" t="s">
        <v>342</v>
      </c>
      <c r="U88" s="3" t="s">
        <v>374</v>
      </c>
      <c r="V88" s="3" t="s">
        <v>342</v>
      </c>
      <c r="W88" s="3" t="s">
        <v>435</v>
      </c>
    </row>
    <row r="89" spans="1:23" ht="24.75" customHeight="1" x14ac:dyDescent="0.35">
      <c r="A89" s="3" t="s">
        <v>261</v>
      </c>
      <c r="B89" s="3" t="s">
        <v>262</v>
      </c>
      <c r="C89" s="3" t="s">
        <v>351</v>
      </c>
      <c r="D89" s="3" t="s">
        <v>26</v>
      </c>
      <c r="E89" s="3" t="s">
        <v>50</v>
      </c>
      <c r="F89" s="3" t="s">
        <v>28</v>
      </c>
      <c r="G89" s="3" t="s">
        <v>333</v>
      </c>
      <c r="H89" s="3" t="s">
        <v>372</v>
      </c>
      <c r="I89" s="3" t="s">
        <v>353</v>
      </c>
      <c r="J89" s="3">
        <v>2</v>
      </c>
      <c r="K89" s="3" t="s">
        <v>353</v>
      </c>
      <c r="L89" s="3" t="s">
        <v>336</v>
      </c>
      <c r="M89" s="3" t="s">
        <v>412</v>
      </c>
      <c r="N89" s="3" t="s">
        <v>354</v>
      </c>
      <c r="O89" s="3" t="s">
        <v>359</v>
      </c>
      <c r="P89" s="3" t="s">
        <v>360</v>
      </c>
      <c r="Q89" s="3" t="s">
        <v>347</v>
      </c>
      <c r="R89" s="3" t="s">
        <v>394</v>
      </c>
      <c r="S89" s="3" t="s">
        <v>342</v>
      </c>
      <c r="T89" s="3" t="s">
        <v>342</v>
      </c>
      <c r="U89" s="3" t="s">
        <v>192</v>
      </c>
      <c r="V89" s="3" t="s">
        <v>342</v>
      </c>
      <c r="W89" s="3" t="s">
        <v>358</v>
      </c>
    </row>
    <row r="90" spans="1:23" ht="24.75" customHeight="1" x14ac:dyDescent="0.35">
      <c r="A90" s="3" t="s">
        <v>261</v>
      </c>
      <c r="B90" s="3" t="s">
        <v>263</v>
      </c>
      <c r="C90" s="3" t="s">
        <v>42</v>
      </c>
      <c r="D90" s="3" t="s">
        <v>26</v>
      </c>
      <c r="E90" s="3" t="s">
        <v>50</v>
      </c>
      <c r="F90" s="3" t="s">
        <v>28</v>
      </c>
      <c r="G90" s="3" t="s">
        <v>333</v>
      </c>
      <c r="H90" s="3" t="s">
        <v>345</v>
      </c>
      <c r="I90" s="3" t="s">
        <v>335</v>
      </c>
      <c r="J90" s="3">
        <v>1</v>
      </c>
      <c r="K90" s="3" t="s">
        <v>335</v>
      </c>
      <c r="L90" s="3" t="s">
        <v>354</v>
      </c>
      <c r="M90" s="3" t="s">
        <v>425</v>
      </c>
      <c r="N90" s="3" t="s">
        <v>336</v>
      </c>
      <c r="O90" s="3" t="s">
        <v>359</v>
      </c>
      <c r="P90" s="3" t="s">
        <v>360</v>
      </c>
      <c r="Q90" s="3" t="s">
        <v>340</v>
      </c>
      <c r="R90" s="3" t="s">
        <v>341</v>
      </c>
      <c r="S90" s="3" t="s">
        <v>348</v>
      </c>
      <c r="T90" s="3" t="s">
        <v>348</v>
      </c>
      <c r="U90" s="3" t="s">
        <v>380</v>
      </c>
      <c r="V90" s="3" t="s">
        <v>348</v>
      </c>
      <c r="W90" s="3" t="s">
        <v>377</v>
      </c>
    </row>
    <row r="91" spans="1:23" ht="24.75" customHeight="1" x14ac:dyDescent="0.35">
      <c r="A91" s="3" t="s">
        <v>265</v>
      </c>
      <c r="B91" s="3" t="s">
        <v>266</v>
      </c>
      <c r="C91" s="3" t="s">
        <v>351</v>
      </c>
      <c r="D91" s="3" t="s">
        <v>26</v>
      </c>
      <c r="E91" s="3" t="s">
        <v>27</v>
      </c>
      <c r="F91" s="3" t="s">
        <v>28</v>
      </c>
      <c r="G91" s="3" t="s">
        <v>333</v>
      </c>
      <c r="H91" s="3" t="s">
        <v>399</v>
      </c>
      <c r="I91" s="3" t="s">
        <v>346</v>
      </c>
      <c r="J91" s="3">
        <v>1</v>
      </c>
      <c r="K91" s="3" t="s">
        <v>346</v>
      </c>
      <c r="L91" s="3" t="s">
        <v>368</v>
      </c>
      <c r="M91" s="3" t="s">
        <v>366</v>
      </c>
      <c r="N91" s="3" t="s">
        <v>333</v>
      </c>
      <c r="O91" s="3" t="s">
        <v>356</v>
      </c>
      <c r="P91" s="3" t="s">
        <v>339</v>
      </c>
      <c r="Q91" s="3" t="s">
        <v>401</v>
      </c>
      <c r="R91" s="3" t="s">
        <v>341</v>
      </c>
      <c r="S91" s="3" t="s">
        <v>342</v>
      </c>
      <c r="T91" s="3" t="s">
        <v>348</v>
      </c>
      <c r="U91" s="3" t="s">
        <v>361</v>
      </c>
      <c r="V91" s="3" t="s">
        <v>348</v>
      </c>
      <c r="W91" s="3" t="s">
        <v>362</v>
      </c>
    </row>
    <row r="92" spans="1:23" ht="24.75" customHeight="1" x14ac:dyDescent="0.35">
      <c r="A92" s="3" t="s">
        <v>267</v>
      </c>
      <c r="B92" s="3" t="s">
        <v>268</v>
      </c>
      <c r="C92" s="3" t="s">
        <v>177</v>
      </c>
      <c r="D92" s="3" t="s">
        <v>49</v>
      </c>
      <c r="E92" s="3" t="s">
        <v>27</v>
      </c>
      <c r="F92" s="3" t="s">
        <v>66</v>
      </c>
      <c r="G92" s="3" t="s">
        <v>336</v>
      </c>
      <c r="H92" s="3" t="s">
        <v>424</v>
      </c>
      <c r="I92" s="3" t="s">
        <v>353</v>
      </c>
      <c r="J92" s="3">
        <v>3</v>
      </c>
      <c r="K92" s="3" t="s">
        <v>353</v>
      </c>
      <c r="L92" s="3" t="s">
        <v>354</v>
      </c>
      <c r="M92" s="3" t="s">
        <v>337</v>
      </c>
      <c r="N92" s="3" t="s">
        <v>336</v>
      </c>
      <c r="O92" s="3" t="s">
        <v>338</v>
      </c>
      <c r="P92" s="3" t="s">
        <v>339</v>
      </c>
      <c r="Q92" s="3" t="s">
        <v>347</v>
      </c>
      <c r="R92" s="3" t="s">
        <v>357</v>
      </c>
      <c r="S92" s="3" t="s">
        <v>348</v>
      </c>
      <c r="T92" s="3" t="s">
        <v>342</v>
      </c>
      <c r="U92" s="3" t="s">
        <v>343</v>
      </c>
      <c r="V92" s="3" t="s">
        <v>342</v>
      </c>
      <c r="W92" s="3" t="s">
        <v>404</v>
      </c>
    </row>
    <row r="93" spans="1:23" ht="24.75" customHeight="1" x14ac:dyDescent="0.35">
      <c r="A93" s="3" t="s">
        <v>269</v>
      </c>
      <c r="B93" s="3" t="s">
        <v>270</v>
      </c>
      <c r="C93" s="3" t="s">
        <v>177</v>
      </c>
      <c r="D93" s="3" t="s">
        <v>26</v>
      </c>
      <c r="E93" s="3" t="s">
        <v>27</v>
      </c>
      <c r="F93" s="3" t="s">
        <v>28</v>
      </c>
      <c r="G93" s="3" t="s">
        <v>333</v>
      </c>
      <c r="H93" s="3" t="s">
        <v>436</v>
      </c>
      <c r="I93" s="3" t="s">
        <v>335</v>
      </c>
      <c r="J93" s="3">
        <v>2</v>
      </c>
      <c r="K93" s="3" t="s">
        <v>353</v>
      </c>
      <c r="L93" s="3" t="s">
        <v>336</v>
      </c>
      <c r="M93" s="3" t="s">
        <v>413</v>
      </c>
      <c r="N93" s="3" t="s">
        <v>336</v>
      </c>
      <c r="O93" s="3" t="s">
        <v>356</v>
      </c>
      <c r="P93" s="3" t="s">
        <v>339</v>
      </c>
      <c r="Q93" s="3" t="s">
        <v>340</v>
      </c>
      <c r="R93" s="3" t="s">
        <v>394</v>
      </c>
      <c r="S93" s="3" t="s">
        <v>342</v>
      </c>
      <c r="T93" s="3" t="s">
        <v>348</v>
      </c>
      <c r="U93" s="3" t="s">
        <v>374</v>
      </c>
      <c r="V93" s="3" t="s">
        <v>348</v>
      </c>
      <c r="W93" s="3" t="s">
        <v>392</v>
      </c>
    </row>
    <row r="94" spans="1:23" ht="24.75" customHeight="1" x14ac:dyDescent="0.35">
      <c r="A94" s="3" t="s">
        <v>271</v>
      </c>
      <c r="B94" s="3" t="s">
        <v>272</v>
      </c>
      <c r="C94" s="3" t="s">
        <v>351</v>
      </c>
      <c r="D94" s="3" t="s">
        <v>49</v>
      </c>
      <c r="E94" s="3" t="s">
        <v>364</v>
      </c>
      <c r="F94" s="3" t="s">
        <v>66</v>
      </c>
      <c r="G94" s="3" t="s">
        <v>333</v>
      </c>
      <c r="H94" s="3" t="s">
        <v>399</v>
      </c>
      <c r="I94" s="3" t="s">
        <v>335</v>
      </c>
      <c r="J94" s="3">
        <v>3</v>
      </c>
      <c r="K94" s="3" t="s">
        <v>353</v>
      </c>
      <c r="L94" s="3" t="s">
        <v>336</v>
      </c>
      <c r="M94" s="3" t="s">
        <v>385</v>
      </c>
      <c r="N94" s="3" t="s">
        <v>333</v>
      </c>
      <c r="O94" s="3" t="s">
        <v>359</v>
      </c>
      <c r="P94" s="3" t="s">
        <v>339</v>
      </c>
      <c r="Q94" s="3" t="s">
        <v>347</v>
      </c>
      <c r="R94" s="3" t="s">
        <v>357</v>
      </c>
      <c r="S94" s="3" t="s">
        <v>342</v>
      </c>
      <c r="T94" s="3" t="s">
        <v>342</v>
      </c>
      <c r="U94" s="3" t="s">
        <v>361</v>
      </c>
      <c r="V94" s="3" t="s">
        <v>342</v>
      </c>
      <c r="W94" s="3" t="s">
        <v>390</v>
      </c>
    </row>
    <row r="95" spans="1:23" ht="24.75" customHeight="1" x14ac:dyDescent="0.35">
      <c r="A95" s="3" t="s">
        <v>273</v>
      </c>
      <c r="B95" s="3" t="s">
        <v>274</v>
      </c>
      <c r="C95" s="3" t="s">
        <v>42</v>
      </c>
      <c r="D95" s="3" t="s">
        <v>26</v>
      </c>
      <c r="E95" s="3" t="s">
        <v>27</v>
      </c>
      <c r="F95" s="3" t="s">
        <v>28</v>
      </c>
      <c r="G95" s="3" t="s">
        <v>333</v>
      </c>
      <c r="H95" s="3" t="s">
        <v>437</v>
      </c>
      <c r="I95" s="3" t="s">
        <v>353</v>
      </c>
      <c r="J95" s="3">
        <v>3</v>
      </c>
      <c r="K95" s="3" t="s">
        <v>353</v>
      </c>
      <c r="L95" s="3" t="s">
        <v>336</v>
      </c>
      <c r="M95" s="3" t="s">
        <v>369</v>
      </c>
      <c r="N95" s="3" t="s">
        <v>336</v>
      </c>
      <c r="O95" s="3" t="s">
        <v>356</v>
      </c>
      <c r="P95" s="3" t="s">
        <v>339</v>
      </c>
      <c r="Q95" s="3" t="s">
        <v>347</v>
      </c>
      <c r="R95" s="3" t="s">
        <v>341</v>
      </c>
      <c r="S95" s="3" t="s">
        <v>342</v>
      </c>
      <c r="T95" s="3" t="s">
        <v>342</v>
      </c>
      <c r="U95" s="3" t="s">
        <v>343</v>
      </c>
      <c r="V95" s="3" t="s">
        <v>348</v>
      </c>
      <c r="W95" s="3" t="s">
        <v>358</v>
      </c>
    </row>
    <row r="96" spans="1:23" ht="24.75" customHeight="1" x14ac:dyDescent="0.35">
      <c r="A96" s="3" t="s">
        <v>275</v>
      </c>
      <c r="B96" s="3" t="s">
        <v>276</v>
      </c>
      <c r="C96" s="3" t="s">
        <v>351</v>
      </c>
      <c r="D96" s="3" t="s">
        <v>49</v>
      </c>
      <c r="E96" s="3" t="s">
        <v>27</v>
      </c>
      <c r="F96" s="3" t="s">
        <v>66</v>
      </c>
      <c r="G96" s="3" t="s">
        <v>333</v>
      </c>
      <c r="H96" s="3" t="s">
        <v>414</v>
      </c>
      <c r="I96" s="3" t="s">
        <v>353</v>
      </c>
      <c r="J96" s="3">
        <v>3</v>
      </c>
      <c r="K96" s="3" t="s">
        <v>353</v>
      </c>
      <c r="L96" s="3" t="s">
        <v>336</v>
      </c>
      <c r="M96" s="3" t="s">
        <v>337</v>
      </c>
      <c r="N96" s="3" t="s">
        <v>354</v>
      </c>
      <c r="O96" s="3" t="s">
        <v>356</v>
      </c>
      <c r="P96" s="3" t="s">
        <v>360</v>
      </c>
      <c r="Q96" s="3" t="s">
        <v>347</v>
      </c>
      <c r="R96" s="3" t="s">
        <v>341</v>
      </c>
      <c r="S96" s="3" t="s">
        <v>342</v>
      </c>
      <c r="T96" s="3" t="s">
        <v>342</v>
      </c>
      <c r="U96" s="3" t="s">
        <v>361</v>
      </c>
      <c r="V96" s="3" t="s">
        <v>342</v>
      </c>
      <c r="W96" s="3" t="s">
        <v>362</v>
      </c>
    </row>
    <row r="97" spans="1:23" ht="24.75" customHeight="1" x14ac:dyDescent="0.35">
      <c r="A97" s="3" t="s">
        <v>277</v>
      </c>
      <c r="B97" s="3" t="s">
        <v>278</v>
      </c>
      <c r="C97" s="3" t="s">
        <v>363</v>
      </c>
      <c r="D97" s="3" t="s">
        <v>279</v>
      </c>
      <c r="E97" s="3" t="s">
        <v>27</v>
      </c>
      <c r="F97" s="3" t="s">
        <v>28</v>
      </c>
      <c r="G97" s="3" t="s">
        <v>336</v>
      </c>
      <c r="H97" s="3" t="s">
        <v>378</v>
      </c>
      <c r="I97" s="3" t="s">
        <v>353</v>
      </c>
      <c r="J97" s="3">
        <v>2</v>
      </c>
      <c r="K97" s="3" t="s">
        <v>353</v>
      </c>
      <c r="L97" s="3" t="s">
        <v>336</v>
      </c>
      <c r="M97" s="3" t="s">
        <v>366</v>
      </c>
      <c r="N97" s="3" t="s">
        <v>333</v>
      </c>
      <c r="O97" s="3" t="s">
        <v>410</v>
      </c>
      <c r="P97" s="3" t="s">
        <v>417</v>
      </c>
      <c r="Q97" s="3" t="s">
        <v>347</v>
      </c>
      <c r="R97" s="3" t="s">
        <v>357</v>
      </c>
      <c r="S97" s="3" t="s">
        <v>342</v>
      </c>
      <c r="T97" s="3" t="s">
        <v>342</v>
      </c>
      <c r="U97" s="3" t="s">
        <v>361</v>
      </c>
      <c r="V97" s="3" t="s">
        <v>342</v>
      </c>
      <c r="W97" s="3" t="s">
        <v>362</v>
      </c>
    </row>
    <row r="98" spans="1:23" ht="24.75" customHeight="1" x14ac:dyDescent="0.35">
      <c r="A98" s="3" t="s">
        <v>280</v>
      </c>
      <c r="B98" s="3" t="s">
        <v>281</v>
      </c>
      <c r="C98" s="3" t="s">
        <v>351</v>
      </c>
      <c r="D98" s="3" t="s">
        <v>134</v>
      </c>
      <c r="E98" s="3" t="s">
        <v>27</v>
      </c>
      <c r="F98" s="3" t="s">
        <v>66</v>
      </c>
      <c r="G98" s="3" t="s">
        <v>333</v>
      </c>
      <c r="H98" s="3" t="s">
        <v>400</v>
      </c>
      <c r="I98" s="3" t="s">
        <v>353</v>
      </c>
      <c r="J98" s="3">
        <v>3</v>
      </c>
      <c r="K98" s="3" t="s">
        <v>381</v>
      </c>
      <c r="L98" s="3" t="s">
        <v>354</v>
      </c>
      <c r="M98" s="3" t="s">
        <v>376</v>
      </c>
      <c r="N98" s="3" t="s">
        <v>354</v>
      </c>
      <c r="O98" s="3" t="s">
        <v>410</v>
      </c>
      <c r="P98" s="3" t="s">
        <v>339</v>
      </c>
      <c r="Q98" s="3" t="s">
        <v>347</v>
      </c>
      <c r="R98" s="3" t="s">
        <v>341</v>
      </c>
      <c r="S98" s="3" t="s">
        <v>342</v>
      </c>
      <c r="T98" s="3" t="s">
        <v>342</v>
      </c>
      <c r="U98" s="3" t="s">
        <v>343</v>
      </c>
      <c r="V98" s="3" t="s">
        <v>342</v>
      </c>
      <c r="W98" s="3" t="s">
        <v>358</v>
      </c>
    </row>
    <row r="99" spans="1:23" ht="24.75" customHeight="1" x14ac:dyDescent="0.35">
      <c r="A99" s="3" t="s">
        <v>282</v>
      </c>
      <c r="B99" s="3" t="s">
        <v>283</v>
      </c>
      <c r="C99" s="3" t="s">
        <v>177</v>
      </c>
      <c r="D99" s="3" t="s">
        <v>279</v>
      </c>
      <c r="E99" s="3" t="s">
        <v>27</v>
      </c>
      <c r="F99" s="3" t="s">
        <v>28</v>
      </c>
      <c r="G99" s="3" t="s">
        <v>333</v>
      </c>
      <c r="H99" s="3" t="s">
        <v>345</v>
      </c>
      <c r="I99" s="3" t="s">
        <v>335</v>
      </c>
      <c r="J99" s="3">
        <v>2</v>
      </c>
      <c r="K99" s="3" t="s">
        <v>335</v>
      </c>
      <c r="L99" s="3" t="s">
        <v>354</v>
      </c>
      <c r="M99" s="3" t="s">
        <v>337</v>
      </c>
      <c r="N99" s="3" t="s">
        <v>333</v>
      </c>
      <c r="O99" s="3" t="s">
        <v>356</v>
      </c>
      <c r="P99" s="3" t="s">
        <v>339</v>
      </c>
      <c r="Q99" s="3" t="s">
        <v>347</v>
      </c>
      <c r="R99" s="3" t="s">
        <v>357</v>
      </c>
      <c r="S99" s="3" t="s">
        <v>342</v>
      </c>
      <c r="T99" s="3" t="s">
        <v>342</v>
      </c>
      <c r="U99" s="3" t="s">
        <v>343</v>
      </c>
      <c r="V99" s="3" t="s">
        <v>342</v>
      </c>
      <c r="W99" s="3" t="s">
        <v>390</v>
      </c>
    </row>
    <row r="100" spans="1:23" ht="24.75" customHeight="1" x14ac:dyDescent="0.35">
      <c r="A100" s="3" t="s">
        <v>284</v>
      </c>
      <c r="B100" s="3" t="s">
        <v>285</v>
      </c>
      <c r="C100" s="3" t="s">
        <v>42</v>
      </c>
      <c r="D100" s="3" t="s">
        <v>100</v>
      </c>
      <c r="E100" s="3" t="s">
        <v>27</v>
      </c>
      <c r="F100" s="3" t="s">
        <v>62</v>
      </c>
      <c r="G100" s="3" t="s">
        <v>333</v>
      </c>
      <c r="H100" s="3" t="s">
        <v>433</v>
      </c>
      <c r="I100" s="3" t="s">
        <v>353</v>
      </c>
      <c r="J100" s="3">
        <v>3</v>
      </c>
      <c r="K100" s="3" t="s">
        <v>381</v>
      </c>
      <c r="L100" s="3" t="s">
        <v>354</v>
      </c>
      <c r="M100" s="3" t="s">
        <v>337</v>
      </c>
      <c r="N100" s="3" t="s">
        <v>354</v>
      </c>
      <c r="O100" s="3" t="s">
        <v>359</v>
      </c>
      <c r="P100" s="3" t="s">
        <v>339</v>
      </c>
      <c r="Q100" s="3" t="s">
        <v>347</v>
      </c>
      <c r="R100" s="3" t="s">
        <v>341</v>
      </c>
      <c r="S100" s="3" t="s">
        <v>342</v>
      </c>
      <c r="T100" s="3" t="s">
        <v>342</v>
      </c>
      <c r="U100" s="3" t="s">
        <v>374</v>
      </c>
      <c r="V100" s="3" t="s">
        <v>348</v>
      </c>
      <c r="W100" s="3" t="s">
        <v>377</v>
      </c>
    </row>
    <row r="101" spans="1:23" ht="24.75" customHeight="1" x14ac:dyDescent="0.35">
      <c r="A101" s="3" t="s">
        <v>286</v>
      </c>
      <c r="B101" s="3" t="s">
        <v>287</v>
      </c>
      <c r="C101" s="3" t="s">
        <v>363</v>
      </c>
      <c r="D101" s="3" t="s">
        <v>134</v>
      </c>
      <c r="E101" s="3" t="s">
        <v>27</v>
      </c>
      <c r="F101" s="3" t="s">
        <v>62</v>
      </c>
      <c r="G101" s="3" t="s">
        <v>333</v>
      </c>
      <c r="H101" s="3" t="s">
        <v>438</v>
      </c>
      <c r="I101" s="3" t="s">
        <v>353</v>
      </c>
      <c r="J101" s="3">
        <v>2</v>
      </c>
      <c r="K101" s="3" t="s">
        <v>353</v>
      </c>
      <c r="L101" s="3" t="s">
        <v>336</v>
      </c>
      <c r="M101" s="3" t="s">
        <v>398</v>
      </c>
      <c r="N101" s="3" t="s">
        <v>336</v>
      </c>
      <c r="O101" s="3" t="s">
        <v>359</v>
      </c>
      <c r="P101" s="3" t="s">
        <v>339</v>
      </c>
      <c r="Q101" s="3" t="s">
        <v>347</v>
      </c>
      <c r="R101" s="3" t="s">
        <v>357</v>
      </c>
      <c r="S101" s="3" t="s">
        <v>342</v>
      </c>
      <c r="T101" s="3" t="s">
        <v>342</v>
      </c>
      <c r="U101" s="3" t="s">
        <v>343</v>
      </c>
      <c r="V101" s="3" t="s">
        <v>342</v>
      </c>
      <c r="W101" s="3" t="s">
        <v>439</v>
      </c>
    </row>
    <row r="102" spans="1:23" ht="24.75" customHeight="1" x14ac:dyDescent="0.35">
      <c r="A102" s="3" t="s">
        <v>288</v>
      </c>
      <c r="B102" s="3" t="s">
        <v>289</v>
      </c>
      <c r="C102" s="3" t="s">
        <v>42</v>
      </c>
      <c r="D102" s="3" t="s">
        <v>26</v>
      </c>
      <c r="E102" s="3" t="s">
        <v>27</v>
      </c>
      <c r="F102" s="3" t="s">
        <v>66</v>
      </c>
      <c r="G102" s="3" t="s">
        <v>333</v>
      </c>
      <c r="H102" s="3" t="s">
        <v>432</v>
      </c>
      <c r="I102" s="3" t="s">
        <v>353</v>
      </c>
      <c r="J102" s="3">
        <v>4</v>
      </c>
      <c r="K102" s="3" t="s">
        <v>353</v>
      </c>
      <c r="L102" s="3" t="s">
        <v>354</v>
      </c>
      <c r="M102" s="3" t="s">
        <v>412</v>
      </c>
      <c r="N102" s="3" t="s">
        <v>354</v>
      </c>
      <c r="O102" s="3" t="s">
        <v>359</v>
      </c>
      <c r="P102" s="3" t="s">
        <v>339</v>
      </c>
      <c r="Q102" s="3" t="s">
        <v>347</v>
      </c>
      <c r="R102" s="3" t="s">
        <v>394</v>
      </c>
      <c r="S102" s="3" t="s">
        <v>342</v>
      </c>
      <c r="T102" s="3" t="s">
        <v>342</v>
      </c>
      <c r="U102" s="3" t="s">
        <v>361</v>
      </c>
      <c r="V102" s="3" t="s">
        <v>342</v>
      </c>
      <c r="W102" s="3" t="s">
        <v>392</v>
      </c>
    </row>
    <row r="103" spans="1:23" ht="24.75" customHeight="1" x14ac:dyDescent="0.35">
      <c r="A103" s="3" t="s">
        <v>290</v>
      </c>
      <c r="B103" s="3" t="s">
        <v>291</v>
      </c>
      <c r="C103" s="3" t="s">
        <v>363</v>
      </c>
      <c r="D103" s="3" t="s">
        <v>109</v>
      </c>
      <c r="E103" s="3" t="s">
        <v>27</v>
      </c>
      <c r="F103" s="3" t="s">
        <v>28</v>
      </c>
      <c r="G103" s="3" t="s">
        <v>333</v>
      </c>
      <c r="H103" s="3" t="s">
        <v>384</v>
      </c>
      <c r="I103" s="3" t="s">
        <v>353</v>
      </c>
      <c r="J103" s="3">
        <v>4</v>
      </c>
      <c r="K103" s="3" t="s">
        <v>353</v>
      </c>
      <c r="L103" s="3" t="s">
        <v>354</v>
      </c>
      <c r="M103" s="3" t="s">
        <v>376</v>
      </c>
      <c r="N103" s="3" t="s">
        <v>354</v>
      </c>
      <c r="O103" s="3" t="s">
        <v>359</v>
      </c>
      <c r="P103" s="3" t="s">
        <v>339</v>
      </c>
      <c r="Q103" s="3" t="s">
        <v>370</v>
      </c>
      <c r="R103" s="3" t="s">
        <v>357</v>
      </c>
      <c r="S103" s="3" t="s">
        <v>342</v>
      </c>
      <c r="T103" s="3" t="s">
        <v>342</v>
      </c>
      <c r="U103" s="3" t="s">
        <v>440</v>
      </c>
      <c r="V103" s="3" t="s">
        <v>342</v>
      </c>
      <c r="W103" s="3" t="s">
        <v>380</v>
      </c>
    </row>
    <row r="104" spans="1:23" ht="24.75" customHeight="1" x14ac:dyDescent="0.35">
      <c r="A104" s="3" t="s">
        <v>293</v>
      </c>
      <c r="B104" s="3" t="s">
        <v>294</v>
      </c>
      <c r="C104" s="3" t="s">
        <v>351</v>
      </c>
      <c r="D104" s="3" t="s">
        <v>26</v>
      </c>
      <c r="E104" s="3" t="s">
        <v>50</v>
      </c>
      <c r="F104" s="3" t="s">
        <v>66</v>
      </c>
      <c r="G104" s="3" t="s">
        <v>333</v>
      </c>
      <c r="H104" s="3" t="s">
        <v>399</v>
      </c>
      <c r="I104" s="3" t="s">
        <v>353</v>
      </c>
      <c r="J104" s="3">
        <v>3</v>
      </c>
      <c r="K104" s="3" t="s">
        <v>353</v>
      </c>
      <c r="L104" s="3" t="s">
        <v>336</v>
      </c>
      <c r="M104" s="3" t="s">
        <v>337</v>
      </c>
      <c r="N104" s="3" t="s">
        <v>333</v>
      </c>
      <c r="O104" s="3" t="s">
        <v>359</v>
      </c>
      <c r="P104" s="3" t="s">
        <v>339</v>
      </c>
      <c r="Q104" s="3" t="s">
        <v>347</v>
      </c>
      <c r="R104" s="3" t="s">
        <v>341</v>
      </c>
      <c r="S104" s="3" t="s">
        <v>342</v>
      </c>
      <c r="T104" s="3" t="s">
        <v>342</v>
      </c>
      <c r="U104" s="3" t="s">
        <v>343</v>
      </c>
      <c r="V104" s="3" t="s">
        <v>342</v>
      </c>
      <c r="W104" s="3" t="s">
        <v>358</v>
      </c>
    </row>
    <row r="105" spans="1:23" ht="24.75" customHeight="1" x14ac:dyDescent="0.35">
      <c r="A105" s="3" t="s">
        <v>295</v>
      </c>
      <c r="B105" s="3" t="s">
        <v>296</v>
      </c>
      <c r="C105" s="3" t="s">
        <v>42</v>
      </c>
      <c r="D105" s="3" t="s">
        <v>26</v>
      </c>
      <c r="E105" s="3" t="s">
        <v>27</v>
      </c>
      <c r="F105" s="3" t="s">
        <v>66</v>
      </c>
      <c r="G105" s="3" t="s">
        <v>333</v>
      </c>
      <c r="H105" s="3" t="s">
        <v>399</v>
      </c>
      <c r="I105" s="3" t="s">
        <v>353</v>
      </c>
      <c r="J105" s="3">
        <v>2</v>
      </c>
      <c r="K105" s="3" t="s">
        <v>335</v>
      </c>
      <c r="L105" s="3" t="s">
        <v>415</v>
      </c>
      <c r="M105" s="3" t="s">
        <v>425</v>
      </c>
      <c r="N105" s="3" t="s">
        <v>354</v>
      </c>
      <c r="O105" s="3" t="s">
        <v>356</v>
      </c>
      <c r="P105" s="3" t="s">
        <v>339</v>
      </c>
      <c r="Q105" s="3" t="s">
        <v>347</v>
      </c>
      <c r="R105" s="3" t="s">
        <v>341</v>
      </c>
      <c r="S105" s="3" t="s">
        <v>342</v>
      </c>
      <c r="T105" s="3" t="s">
        <v>342</v>
      </c>
      <c r="U105" s="3" t="s">
        <v>361</v>
      </c>
      <c r="V105" s="3" t="s">
        <v>342</v>
      </c>
      <c r="W105" s="3" t="s">
        <v>404</v>
      </c>
    </row>
    <row r="106" spans="1:23" ht="24.75" customHeight="1" x14ac:dyDescent="0.35">
      <c r="A106" s="3" t="s">
        <v>297</v>
      </c>
      <c r="B106" s="3" t="s">
        <v>298</v>
      </c>
      <c r="C106" s="3" t="s">
        <v>42</v>
      </c>
      <c r="D106" s="3" t="s">
        <v>100</v>
      </c>
      <c r="E106" s="3" t="s">
        <v>27</v>
      </c>
      <c r="F106" s="3" t="s">
        <v>62</v>
      </c>
      <c r="G106" s="3" t="s">
        <v>333</v>
      </c>
      <c r="H106" s="3" t="s">
        <v>403</v>
      </c>
      <c r="I106" s="3" t="s">
        <v>353</v>
      </c>
      <c r="J106" s="3">
        <v>2</v>
      </c>
      <c r="K106" s="3" t="s">
        <v>353</v>
      </c>
      <c r="L106" s="3" t="s">
        <v>354</v>
      </c>
      <c r="M106" s="3" t="s">
        <v>425</v>
      </c>
      <c r="N106" s="3" t="s">
        <v>354</v>
      </c>
      <c r="O106" s="3" t="s">
        <v>356</v>
      </c>
      <c r="P106" s="3" t="s">
        <v>339</v>
      </c>
      <c r="Q106" s="3" t="s">
        <v>347</v>
      </c>
      <c r="R106" s="3" t="s">
        <v>357</v>
      </c>
      <c r="S106" s="3" t="s">
        <v>348</v>
      </c>
      <c r="T106" s="3" t="s">
        <v>348</v>
      </c>
      <c r="U106" s="3" t="s">
        <v>361</v>
      </c>
      <c r="V106" s="3" t="s">
        <v>342</v>
      </c>
      <c r="W106" s="3" t="s">
        <v>404</v>
      </c>
    </row>
    <row r="107" spans="1:23" ht="24.75" customHeight="1" x14ac:dyDescent="0.35">
      <c r="A107" s="3" t="s">
        <v>299</v>
      </c>
      <c r="B107" s="3" t="s">
        <v>300</v>
      </c>
      <c r="C107" s="3" t="s">
        <v>42</v>
      </c>
      <c r="D107" s="3" t="s">
        <v>26</v>
      </c>
      <c r="E107" s="3" t="s">
        <v>27</v>
      </c>
      <c r="F107" s="3" t="s">
        <v>66</v>
      </c>
      <c r="G107" s="3" t="s">
        <v>441</v>
      </c>
      <c r="H107" s="3" t="s">
        <v>302</v>
      </c>
      <c r="I107" s="3" t="s">
        <v>353</v>
      </c>
      <c r="J107" s="3">
        <v>3</v>
      </c>
      <c r="K107" s="3" t="s">
        <v>353</v>
      </c>
      <c r="L107" s="3" t="s">
        <v>354</v>
      </c>
      <c r="M107" s="3" t="s">
        <v>425</v>
      </c>
      <c r="N107" s="3" t="s">
        <v>354</v>
      </c>
      <c r="O107" s="3" t="s">
        <v>356</v>
      </c>
      <c r="P107" s="3" t="s">
        <v>339</v>
      </c>
      <c r="Q107" s="3" t="s">
        <v>347</v>
      </c>
      <c r="R107" s="3" t="s">
        <v>394</v>
      </c>
      <c r="S107" s="3" t="s">
        <v>342</v>
      </c>
      <c r="T107" s="3" t="s">
        <v>348</v>
      </c>
      <c r="U107" s="3" t="s">
        <v>361</v>
      </c>
      <c r="V107" s="3" t="s">
        <v>348</v>
      </c>
      <c r="W107" s="3" t="s">
        <v>380</v>
      </c>
    </row>
    <row r="108" spans="1:23" ht="24.75" customHeight="1" x14ac:dyDescent="0.35">
      <c r="A108" s="3" t="s">
        <v>303</v>
      </c>
      <c r="B108" s="3" t="s">
        <v>304</v>
      </c>
      <c r="C108" s="3" t="s">
        <v>42</v>
      </c>
      <c r="D108" s="3" t="s">
        <v>26</v>
      </c>
      <c r="E108" s="3" t="s">
        <v>27</v>
      </c>
      <c r="F108" s="3" t="s">
        <v>66</v>
      </c>
      <c r="G108" s="3" t="s">
        <v>333</v>
      </c>
      <c r="H108" s="3" t="s">
        <v>442</v>
      </c>
      <c r="I108" s="3" t="s">
        <v>346</v>
      </c>
      <c r="J108" s="3">
        <v>1</v>
      </c>
      <c r="K108" s="3" t="s">
        <v>346</v>
      </c>
      <c r="L108" s="3" t="s">
        <v>368</v>
      </c>
      <c r="M108" s="3" t="s">
        <v>369</v>
      </c>
      <c r="N108" s="3" t="s">
        <v>333</v>
      </c>
      <c r="O108" s="3" t="s">
        <v>356</v>
      </c>
      <c r="P108" s="3" t="s">
        <v>416</v>
      </c>
      <c r="Q108" s="3" t="s">
        <v>340</v>
      </c>
      <c r="R108" s="3" t="s">
        <v>357</v>
      </c>
      <c r="S108" s="3" t="s">
        <v>342</v>
      </c>
      <c r="T108" s="3" t="s">
        <v>342</v>
      </c>
      <c r="U108" s="3" t="s">
        <v>361</v>
      </c>
      <c r="V108" s="3" t="s">
        <v>342</v>
      </c>
      <c r="W108" s="3" t="s">
        <v>434</v>
      </c>
    </row>
    <row r="109" spans="1:23" ht="24.75" customHeight="1" x14ac:dyDescent="0.35">
      <c r="A109" s="3" t="s">
        <v>305</v>
      </c>
      <c r="B109" s="3" t="s">
        <v>306</v>
      </c>
      <c r="C109" s="3" t="s">
        <v>25</v>
      </c>
      <c r="D109" s="3" t="s">
        <v>134</v>
      </c>
      <c r="E109" s="3" t="s">
        <v>27</v>
      </c>
      <c r="F109" s="3" t="s">
        <v>62</v>
      </c>
      <c r="G109" s="3" t="s">
        <v>333</v>
      </c>
      <c r="H109" s="3" t="s">
        <v>443</v>
      </c>
      <c r="I109" s="3" t="s">
        <v>353</v>
      </c>
      <c r="J109" s="3">
        <v>4</v>
      </c>
      <c r="K109" s="3" t="s">
        <v>346</v>
      </c>
      <c r="L109" s="3" t="s">
        <v>354</v>
      </c>
      <c r="M109" s="3" t="s">
        <v>395</v>
      </c>
      <c r="N109" s="3" t="s">
        <v>336</v>
      </c>
      <c r="O109" s="3" t="s">
        <v>356</v>
      </c>
      <c r="P109" s="3" t="s">
        <v>406</v>
      </c>
      <c r="Q109" s="3" t="s">
        <v>340</v>
      </c>
      <c r="R109" s="3" t="s">
        <v>394</v>
      </c>
      <c r="S109" s="3" t="s">
        <v>348</v>
      </c>
      <c r="T109" s="3" t="s">
        <v>342</v>
      </c>
      <c r="U109" s="3" t="s">
        <v>361</v>
      </c>
      <c r="V109" s="3" t="s">
        <v>348</v>
      </c>
      <c r="W109" s="3" t="s">
        <v>390</v>
      </c>
    </row>
    <row r="110" spans="1:23" ht="24.75" customHeight="1" x14ac:dyDescent="0.35">
      <c r="A110" s="3" t="s">
        <v>308</v>
      </c>
      <c r="B110" s="3" t="s">
        <v>309</v>
      </c>
      <c r="C110" s="3" t="s">
        <v>42</v>
      </c>
      <c r="D110" s="3" t="s">
        <v>100</v>
      </c>
      <c r="E110" s="3" t="s">
        <v>27</v>
      </c>
      <c r="F110" s="3" t="s">
        <v>62</v>
      </c>
      <c r="G110" s="3" t="s">
        <v>333</v>
      </c>
      <c r="H110" s="3" t="s">
        <v>345</v>
      </c>
      <c r="I110" s="3" t="s">
        <v>353</v>
      </c>
      <c r="J110" s="3">
        <v>3</v>
      </c>
      <c r="K110" s="3" t="s">
        <v>353</v>
      </c>
      <c r="L110" s="3" t="s">
        <v>354</v>
      </c>
      <c r="M110" s="3" t="s">
        <v>337</v>
      </c>
      <c r="N110" s="3" t="s">
        <v>354</v>
      </c>
      <c r="O110" s="3" t="s">
        <v>356</v>
      </c>
      <c r="P110" s="3" t="s">
        <v>360</v>
      </c>
      <c r="Q110" s="3" t="s">
        <v>347</v>
      </c>
      <c r="R110" s="3" t="s">
        <v>341</v>
      </c>
      <c r="S110" s="3" t="s">
        <v>342</v>
      </c>
      <c r="T110" s="3" t="s">
        <v>342</v>
      </c>
      <c r="U110" s="3" t="s">
        <v>374</v>
      </c>
      <c r="V110" s="3" t="s">
        <v>348</v>
      </c>
      <c r="W110" s="3" t="s">
        <v>377</v>
      </c>
    </row>
    <row r="111" spans="1:23" ht="24.75" customHeight="1" x14ac:dyDescent="0.35">
      <c r="A111" s="3" t="s">
        <v>310</v>
      </c>
      <c r="B111" s="3" t="s">
        <v>311</v>
      </c>
      <c r="C111" s="3" t="s">
        <v>42</v>
      </c>
      <c r="D111" s="3" t="s">
        <v>49</v>
      </c>
      <c r="E111" s="3" t="s">
        <v>50</v>
      </c>
      <c r="F111" s="3" t="s">
        <v>66</v>
      </c>
      <c r="G111" s="3" t="s">
        <v>333</v>
      </c>
      <c r="H111" s="3" t="s">
        <v>352</v>
      </c>
      <c r="I111" s="3" t="s">
        <v>335</v>
      </c>
      <c r="J111" s="3">
        <v>2</v>
      </c>
      <c r="K111" s="3" t="s">
        <v>335</v>
      </c>
      <c r="L111" s="3" t="s">
        <v>336</v>
      </c>
      <c r="M111" s="3" t="s">
        <v>366</v>
      </c>
      <c r="N111" s="3" t="s">
        <v>336</v>
      </c>
      <c r="O111" s="3" t="s">
        <v>356</v>
      </c>
      <c r="P111" s="3" t="s">
        <v>339</v>
      </c>
      <c r="Q111" s="3" t="s">
        <v>340</v>
      </c>
      <c r="R111" s="3" t="s">
        <v>394</v>
      </c>
      <c r="S111" s="3" t="s">
        <v>348</v>
      </c>
      <c r="T111" s="3" t="s">
        <v>342</v>
      </c>
      <c r="U111" s="3" t="s">
        <v>343</v>
      </c>
      <c r="V111" s="3" t="s">
        <v>342</v>
      </c>
      <c r="W111" s="3" t="s">
        <v>408</v>
      </c>
    </row>
    <row r="112" spans="1:23" ht="24.75" customHeight="1" x14ac:dyDescent="0.35">
      <c r="A112" s="3" t="s">
        <v>312</v>
      </c>
      <c r="B112" s="3" t="s">
        <v>313</v>
      </c>
      <c r="C112" s="3" t="s">
        <v>42</v>
      </c>
      <c r="D112" s="3" t="s">
        <v>26</v>
      </c>
      <c r="E112" s="3" t="s">
        <v>27</v>
      </c>
      <c r="F112" s="3" t="s">
        <v>28</v>
      </c>
      <c r="G112" s="3" t="s">
        <v>333</v>
      </c>
      <c r="H112" s="3" t="s">
        <v>389</v>
      </c>
      <c r="I112" s="3" t="s">
        <v>335</v>
      </c>
      <c r="J112" s="3">
        <v>2</v>
      </c>
      <c r="K112" s="3" t="s">
        <v>335</v>
      </c>
      <c r="L112" s="3" t="s">
        <v>354</v>
      </c>
      <c r="M112" s="3" t="s">
        <v>376</v>
      </c>
      <c r="N112" s="3" t="s">
        <v>336</v>
      </c>
      <c r="O112" s="3" t="s">
        <v>359</v>
      </c>
      <c r="P112" s="3" t="s">
        <v>360</v>
      </c>
      <c r="Q112" s="3" t="s">
        <v>347</v>
      </c>
      <c r="R112" s="3" t="s">
        <v>357</v>
      </c>
      <c r="S112" s="3" t="s">
        <v>342</v>
      </c>
      <c r="T112" s="3" t="s">
        <v>342</v>
      </c>
      <c r="U112" s="3" t="s">
        <v>343</v>
      </c>
      <c r="V112" s="3" t="s">
        <v>342</v>
      </c>
      <c r="W112" s="3" t="s">
        <v>362</v>
      </c>
    </row>
    <row r="113" spans="1:23" ht="24.75" customHeight="1" x14ac:dyDescent="0.35">
      <c r="A113" s="3" t="s">
        <v>314</v>
      </c>
      <c r="B113" s="3" t="s">
        <v>315</v>
      </c>
      <c r="C113" s="3" t="s">
        <v>42</v>
      </c>
      <c r="D113" s="3" t="s">
        <v>100</v>
      </c>
      <c r="E113" s="3" t="s">
        <v>27</v>
      </c>
      <c r="F113" s="3" t="s">
        <v>28</v>
      </c>
      <c r="G113" s="3" t="s">
        <v>333</v>
      </c>
      <c r="H113" s="3" t="s">
        <v>345</v>
      </c>
      <c r="I113" s="3" t="s">
        <v>346</v>
      </c>
      <c r="J113" s="3">
        <v>2</v>
      </c>
      <c r="K113" s="3" t="s">
        <v>353</v>
      </c>
      <c r="L113" s="3" t="s">
        <v>336</v>
      </c>
      <c r="M113" s="3" t="s">
        <v>425</v>
      </c>
      <c r="N113" s="3" t="s">
        <v>354</v>
      </c>
      <c r="O113" s="3" t="s">
        <v>359</v>
      </c>
      <c r="P113" s="3" t="s">
        <v>339</v>
      </c>
      <c r="Q113" s="3" t="s">
        <v>347</v>
      </c>
      <c r="R113" s="3" t="s">
        <v>394</v>
      </c>
      <c r="S113" s="3" t="s">
        <v>342</v>
      </c>
      <c r="T113" s="3" t="s">
        <v>348</v>
      </c>
      <c r="U113" s="3" t="s">
        <v>374</v>
      </c>
      <c r="V113" s="3" t="s">
        <v>348</v>
      </c>
      <c r="W113" s="3" t="s">
        <v>390</v>
      </c>
    </row>
    <row r="114" spans="1:23" ht="24.75" customHeight="1" x14ac:dyDescent="0.35">
      <c r="A114" s="3" t="s">
        <v>316</v>
      </c>
      <c r="B114" s="3" t="s">
        <v>317</v>
      </c>
      <c r="C114" s="3" t="s">
        <v>25</v>
      </c>
      <c r="D114" s="3" t="s">
        <v>49</v>
      </c>
      <c r="E114" s="3" t="s">
        <v>50</v>
      </c>
      <c r="F114" s="3" t="s">
        <v>28</v>
      </c>
      <c r="G114" s="3" t="s">
        <v>333</v>
      </c>
      <c r="H114" s="3" t="s">
        <v>382</v>
      </c>
      <c r="I114" s="3" t="s">
        <v>353</v>
      </c>
      <c r="J114" s="3">
        <v>3</v>
      </c>
      <c r="K114" s="3" t="s">
        <v>335</v>
      </c>
      <c r="L114" s="3" t="s">
        <v>336</v>
      </c>
      <c r="M114" s="3" t="s">
        <v>398</v>
      </c>
      <c r="N114" s="3" t="s">
        <v>333</v>
      </c>
      <c r="O114" s="3" t="s">
        <v>359</v>
      </c>
      <c r="P114" s="3" t="s">
        <v>339</v>
      </c>
      <c r="Q114" s="3" t="s">
        <v>340</v>
      </c>
      <c r="R114" s="3" t="s">
        <v>357</v>
      </c>
      <c r="S114" s="3" t="s">
        <v>342</v>
      </c>
      <c r="T114" s="3" t="s">
        <v>342</v>
      </c>
      <c r="U114" s="3" t="s">
        <v>343</v>
      </c>
      <c r="V114" s="3" t="s">
        <v>342</v>
      </c>
      <c r="W114" s="3" t="s">
        <v>362</v>
      </c>
    </row>
    <row r="115" spans="1:23" ht="24.75" customHeight="1" x14ac:dyDescent="0.35">
      <c r="A115" s="3" t="s">
        <v>318</v>
      </c>
      <c r="B115" s="3" t="s">
        <v>319</v>
      </c>
      <c r="C115" s="3" t="s">
        <v>25</v>
      </c>
      <c r="D115" s="3" t="s">
        <v>134</v>
      </c>
      <c r="E115" s="3" t="s">
        <v>27</v>
      </c>
      <c r="F115" s="3" t="s">
        <v>62</v>
      </c>
      <c r="G115" s="3" t="s">
        <v>333</v>
      </c>
      <c r="H115" s="3" t="s">
        <v>389</v>
      </c>
      <c r="I115" s="3" t="s">
        <v>353</v>
      </c>
      <c r="J115" s="3">
        <v>4</v>
      </c>
      <c r="K115" s="3" t="s">
        <v>353</v>
      </c>
      <c r="L115" s="3" t="s">
        <v>368</v>
      </c>
      <c r="M115" s="3" t="s">
        <v>379</v>
      </c>
      <c r="N115" s="3" t="s">
        <v>333</v>
      </c>
      <c r="O115" s="3" t="s">
        <v>359</v>
      </c>
      <c r="P115" s="3" t="s">
        <v>339</v>
      </c>
      <c r="Q115" s="3" t="s">
        <v>347</v>
      </c>
      <c r="R115" s="3" t="s">
        <v>357</v>
      </c>
      <c r="S115" s="3" t="s">
        <v>348</v>
      </c>
      <c r="T115" s="3" t="s">
        <v>342</v>
      </c>
      <c r="U115" s="3" t="s">
        <v>361</v>
      </c>
      <c r="V115" s="3" t="s">
        <v>342</v>
      </c>
      <c r="W115" s="3" t="s">
        <v>404</v>
      </c>
    </row>
    <row r="116" spans="1:23" ht="24.75" customHeight="1" x14ac:dyDescent="0.35">
      <c r="A116" s="3" t="s">
        <v>320</v>
      </c>
      <c r="B116" s="3" t="s">
        <v>321</v>
      </c>
      <c r="C116" s="3" t="s">
        <v>42</v>
      </c>
      <c r="D116" s="3" t="s">
        <v>26</v>
      </c>
      <c r="E116" s="3" t="s">
        <v>50</v>
      </c>
      <c r="F116" s="3" t="s">
        <v>28</v>
      </c>
      <c r="G116" s="3" t="s">
        <v>336</v>
      </c>
      <c r="H116" s="3" t="s">
        <v>403</v>
      </c>
      <c r="I116" s="3" t="s">
        <v>335</v>
      </c>
      <c r="J116" s="3">
        <v>3</v>
      </c>
      <c r="K116" s="3" t="s">
        <v>353</v>
      </c>
      <c r="L116" s="3" t="s">
        <v>336</v>
      </c>
      <c r="M116" s="3" t="s">
        <v>369</v>
      </c>
      <c r="N116" s="3" t="s">
        <v>333</v>
      </c>
      <c r="O116" s="3" t="s">
        <v>359</v>
      </c>
      <c r="P116" s="3" t="s">
        <v>360</v>
      </c>
      <c r="Q116" s="3" t="s">
        <v>340</v>
      </c>
      <c r="R116" s="3" t="s">
        <v>341</v>
      </c>
      <c r="S116" s="3" t="s">
        <v>342</v>
      </c>
      <c r="T116" s="3" t="s">
        <v>342</v>
      </c>
      <c r="U116" s="3" t="s">
        <v>361</v>
      </c>
      <c r="V116" s="3" t="s">
        <v>342</v>
      </c>
      <c r="W116" s="3" t="s">
        <v>392</v>
      </c>
    </row>
    <row r="117" spans="1:23" ht="24.75" customHeight="1" x14ac:dyDescent="0.35">
      <c r="A117" s="3" t="s">
        <v>322</v>
      </c>
      <c r="B117" s="3" t="s">
        <v>323</v>
      </c>
      <c r="C117" s="3" t="s">
        <v>42</v>
      </c>
      <c r="D117" s="3" t="s">
        <v>134</v>
      </c>
      <c r="E117" s="3" t="s">
        <v>27</v>
      </c>
      <c r="F117" s="3" t="s">
        <v>62</v>
      </c>
      <c r="G117" s="3" t="s">
        <v>333</v>
      </c>
      <c r="H117" s="3" t="s">
        <v>389</v>
      </c>
      <c r="I117" s="3" t="s">
        <v>353</v>
      </c>
      <c r="J117" s="3">
        <v>3</v>
      </c>
      <c r="K117" s="3" t="s">
        <v>353</v>
      </c>
      <c r="L117" s="3" t="s">
        <v>354</v>
      </c>
      <c r="M117" s="3" t="s">
        <v>337</v>
      </c>
      <c r="N117" s="3" t="s">
        <v>354</v>
      </c>
      <c r="O117" s="3" t="s">
        <v>356</v>
      </c>
      <c r="P117" s="3" t="s">
        <v>339</v>
      </c>
      <c r="Q117" s="3" t="s">
        <v>347</v>
      </c>
      <c r="R117" s="3" t="s">
        <v>394</v>
      </c>
      <c r="S117" s="3" t="s">
        <v>342</v>
      </c>
      <c r="T117" s="3" t="s">
        <v>342</v>
      </c>
      <c r="U117" s="3" t="s">
        <v>361</v>
      </c>
      <c r="V117" s="3" t="s">
        <v>348</v>
      </c>
      <c r="W117" s="3" t="s">
        <v>408</v>
      </c>
    </row>
    <row r="118" spans="1:23" ht="24.75" customHeight="1" x14ac:dyDescent="0.35">
      <c r="A118" s="3" t="s">
        <v>324</v>
      </c>
      <c r="B118" s="3" t="s">
        <v>325</v>
      </c>
      <c r="C118" s="3" t="s">
        <v>42</v>
      </c>
      <c r="D118" s="3" t="s">
        <v>26</v>
      </c>
      <c r="E118" s="3" t="s">
        <v>27</v>
      </c>
      <c r="F118" s="3" t="s">
        <v>28</v>
      </c>
      <c r="G118" s="3" t="s">
        <v>336</v>
      </c>
      <c r="H118" s="3" t="s">
        <v>352</v>
      </c>
      <c r="I118" s="3" t="s">
        <v>335</v>
      </c>
      <c r="J118" s="3">
        <v>2</v>
      </c>
      <c r="K118" s="3" t="s">
        <v>346</v>
      </c>
      <c r="L118" s="3" t="s">
        <v>368</v>
      </c>
      <c r="M118" s="3" t="s">
        <v>385</v>
      </c>
      <c r="N118" s="3" t="s">
        <v>336</v>
      </c>
      <c r="O118" s="3" t="s">
        <v>356</v>
      </c>
      <c r="P118" s="3" t="s">
        <v>360</v>
      </c>
      <c r="Q118" s="3" t="s">
        <v>347</v>
      </c>
      <c r="R118" s="3" t="s">
        <v>357</v>
      </c>
      <c r="S118" s="3" t="s">
        <v>342</v>
      </c>
      <c r="T118" s="3" t="s">
        <v>342</v>
      </c>
      <c r="U118" s="3" t="s">
        <v>326</v>
      </c>
      <c r="V118" s="3" t="s">
        <v>348</v>
      </c>
      <c r="W118" s="3" t="s">
        <v>358</v>
      </c>
    </row>
    <row r="119" spans="1:23" ht="24.75" customHeight="1" x14ac:dyDescent="0.35">
      <c r="A119" s="3" t="s">
        <v>327</v>
      </c>
      <c r="B119" s="3" t="s">
        <v>328</v>
      </c>
      <c r="C119" s="3" t="s">
        <v>351</v>
      </c>
      <c r="D119" s="3" t="s">
        <v>134</v>
      </c>
      <c r="E119" s="3" t="s">
        <v>27</v>
      </c>
      <c r="F119" s="3" t="s">
        <v>62</v>
      </c>
      <c r="G119" s="3" t="s">
        <v>333</v>
      </c>
      <c r="H119" s="3" t="s">
        <v>384</v>
      </c>
      <c r="I119" s="3" t="s">
        <v>353</v>
      </c>
      <c r="J119" s="3">
        <v>3</v>
      </c>
      <c r="K119" s="3" t="s">
        <v>353</v>
      </c>
      <c r="L119" s="3" t="s">
        <v>368</v>
      </c>
      <c r="M119" s="3" t="s">
        <v>383</v>
      </c>
      <c r="N119" s="3" t="s">
        <v>336</v>
      </c>
      <c r="O119" s="3" t="s">
        <v>356</v>
      </c>
      <c r="P119" s="3" t="s">
        <v>339</v>
      </c>
      <c r="Q119" s="3" t="s">
        <v>347</v>
      </c>
      <c r="R119" s="3" t="s">
        <v>341</v>
      </c>
      <c r="S119" s="3" t="s">
        <v>342</v>
      </c>
      <c r="T119" s="3" t="s">
        <v>342</v>
      </c>
      <c r="U119" s="3" t="s">
        <v>361</v>
      </c>
      <c r="V119" s="3" t="s">
        <v>342</v>
      </c>
      <c r="W119" s="3" t="s">
        <v>371</v>
      </c>
    </row>
    <row r="120" spans="1:23" ht="24.75" customHeight="1" x14ac:dyDescent="0.35">
      <c r="A120" s="3" t="s">
        <v>329</v>
      </c>
      <c r="B120" s="3" t="s">
        <v>330</v>
      </c>
      <c r="C120" s="3" t="s">
        <v>351</v>
      </c>
      <c r="D120" s="3" t="s">
        <v>49</v>
      </c>
      <c r="E120" s="3" t="s">
        <v>50</v>
      </c>
      <c r="F120" s="3" t="s">
        <v>28</v>
      </c>
      <c r="G120" s="3" t="s">
        <v>333</v>
      </c>
      <c r="H120" s="3" t="s">
        <v>345</v>
      </c>
      <c r="I120" s="3" t="s">
        <v>335</v>
      </c>
      <c r="J120" s="3">
        <v>2</v>
      </c>
      <c r="K120" s="3" t="s">
        <v>335</v>
      </c>
      <c r="L120" s="3" t="s">
        <v>336</v>
      </c>
      <c r="M120" s="3" t="s">
        <v>337</v>
      </c>
      <c r="N120" s="3" t="s">
        <v>336</v>
      </c>
      <c r="O120" s="3" t="s">
        <v>359</v>
      </c>
      <c r="P120" s="3" t="s">
        <v>360</v>
      </c>
      <c r="Q120" s="3" t="s">
        <v>340</v>
      </c>
      <c r="R120" s="3" t="s">
        <v>394</v>
      </c>
      <c r="S120" s="3" t="s">
        <v>348</v>
      </c>
      <c r="T120" s="3" t="s">
        <v>348</v>
      </c>
      <c r="U120" s="3" t="s">
        <v>349</v>
      </c>
      <c r="V120" s="3" t="s">
        <v>348</v>
      </c>
      <c r="W120" s="3" t="s">
        <v>377</v>
      </c>
    </row>
    <row r="121" spans="1:23" ht="24.75" customHeight="1" x14ac:dyDescent="0.35">
      <c r="A121" s="3" t="s">
        <v>331</v>
      </c>
      <c r="B121" s="3" t="s">
        <v>332</v>
      </c>
      <c r="C121" s="3" t="s">
        <v>351</v>
      </c>
      <c r="D121" s="3" t="s">
        <v>26</v>
      </c>
      <c r="E121" s="3" t="s">
        <v>27</v>
      </c>
      <c r="F121" s="3" t="s">
        <v>28</v>
      </c>
      <c r="G121" s="3" t="s">
        <v>333</v>
      </c>
      <c r="H121" s="3" t="s">
        <v>436</v>
      </c>
      <c r="I121" s="3" t="s">
        <v>353</v>
      </c>
      <c r="J121" s="3">
        <v>3</v>
      </c>
      <c r="K121" s="3" t="s">
        <v>353</v>
      </c>
      <c r="L121" s="3" t="s">
        <v>354</v>
      </c>
      <c r="M121" s="3" t="s">
        <v>383</v>
      </c>
      <c r="N121" s="3" t="s">
        <v>354</v>
      </c>
      <c r="O121" s="3" t="s">
        <v>359</v>
      </c>
      <c r="P121" s="3" t="s">
        <v>360</v>
      </c>
      <c r="Q121" s="3" t="s">
        <v>347</v>
      </c>
      <c r="R121" s="3" t="s">
        <v>394</v>
      </c>
      <c r="S121" s="3" t="s">
        <v>342</v>
      </c>
      <c r="T121" s="3" t="s">
        <v>342</v>
      </c>
      <c r="U121" s="3" t="s">
        <v>343</v>
      </c>
      <c r="V121" s="3" t="s">
        <v>342</v>
      </c>
      <c r="W121" s="3" t="s">
        <v>358</v>
      </c>
    </row>
    <row r="123" spans="1:23" ht="27.75" customHeight="1" x14ac:dyDescent="0.35">
      <c r="A123" s="9"/>
      <c r="B123" s="9"/>
      <c r="C123" s="9"/>
      <c r="D123" s="9"/>
      <c r="E123" s="9"/>
      <c r="F123" s="9"/>
    </row>
    <row r="124" spans="1:23" ht="15" customHeight="1" x14ac:dyDescent="0.35">
      <c r="A124" s="9"/>
      <c r="B124" s="9"/>
      <c r="C124" s="9"/>
      <c r="D124" s="9"/>
      <c r="E124" s="9"/>
    </row>
    <row r="125" spans="1:23" ht="15" customHeight="1" x14ac:dyDescent="0.35"/>
    <row r="126" spans="1:23" ht="15" customHeight="1" x14ac:dyDescent="0.35"/>
    <row r="127" spans="1:23" ht="15" customHeight="1" x14ac:dyDescent="0.35"/>
    <row r="128" spans="1:23" ht="15" customHeight="1" x14ac:dyDescent="0.35"/>
    <row r="129" spans="1:5" ht="15" customHeight="1" x14ac:dyDescent="0.35"/>
    <row r="132" spans="1:5" ht="15" customHeight="1" x14ac:dyDescent="0.35">
      <c r="A132" s="9"/>
      <c r="B132" s="9"/>
      <c r="C132" s="9"/>
      <c r="D132" s="9"/>
      <c r="E132" s="9"/>
    </row>
    <row r="133" spans="1:5" ht="15" customHeight="1" x14ac:dyDescent="0.35"/>
    <row r="134" spans="1:5" ht="15" customHeight="1" x14ac:dyDescent="0.35"/>
    <row r="135" spans="1:5" ht="15" customHeight="1" x14ac:dyDescent="0.35"/>
    <row r="136" spans="1:5" ht="15" customHeight="1" x14ac:dyDescent="0.35"/>
    <row r="139" spans="1:5" ht="15" customHeight="1" x14ac:dyDescent="0.35">
      <c r="A139" s="9"/>
      <c r="B139" s="9"/>
      <c r="C139" s="9"/>
      <c r="D139" s="9"/>
      <c r="E139" s="9"/>
    </row>
    <row r="140" spans="1:5" ht="15" customHeight="1" x14ac:dyDescent="0.35"/>
    <row r="141" spans="1:5" ht="15" customHeight="1" x14ac:dyDescent="0.35"/>
    <row r="142" spans="1:5" ht="15" customHeight="1" x14ac:dyDescent="0.35"/>
    <row r="143" spans="1:5" ht="15" customHeight="1" x14ac:dyDescent="0.35"/>
    <row r="144" spans="1:5" ht="15" customHeight="1" x14ac:dyDescent="0.35"/>
    <row r="145" ht="23.25" customHeight="1" x14ac:dyDescent="0.35"/>
    <row r="146" ht="15" customHeight="1" x14ac:dyDescent="0.35"/>
    <row r="147" ht="23.2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23.25" customHeight="1" x14ac:dyDescent="0.35"/>
    <row r="158" ht="15" customHeight="1" x14ac:dyDescent="0.35"/>
    <row r="161" spans="1:5" ht="15" customHeight="1" x14ac:dyDescent="0.35">
      <c r="A161" s="9"/>
      <c r="B161" s="9"/>
      <c r="C161" s="9"/>
      <c r="D161" s="9"/>
      <c r="E161" s="9"/>
    </row>
    <row r="162" spans="1:5" ht="15" customHeight="1" x14ac:dyDescent="0.35"/>
    <row r="163" spans="1:5" ht="15" customHeight="1" x14ac:dyDescent="0.35"/>
    <row r="164" spans="1:5" ht="15" customHeight="1" x14ac:dyDescent="0.35"/>
    <row r="165" spans="1:5" ht="15" customHeight="1" x14ac:dyDescent="0.35"/>
    <row r="166" spans="1:5" ht="15" customHeight="1" x14ac:dyDescent="0.35"/>
    <row r="167" spans="1:5" ht="15" customHeight="1" x14ac:dyDescent="0.35"/>
    <row r="168" spans="1:5" ht="15" customHeight="1" x14ac:dyDescent="0.35"/>
    <row r="171" spans="1:5" ht="15" customHeight="1" x14ac:dyDescent="0.35">
      <c r="A171" s="9"/>
      <c r="B171" s="9"/>
      <c r="C171" s="9"/>
      <c r="D171" s="9"/>
      <c r="E171" s="9"/>
    </row>
    <row r="172" spans="1:5" ht="15" customHeight="1" x14ac:dyDescent="0.35"/>
    <row r="173" spans="1:5" ht="15" customHeight="1" x14ac:dyDescent="0.35"/>
    <row r="174" spans="1:5" ht="15" customHeight="1" x14ac:dyDescent="0.35"/>
    <row r="175" spans="1:5" ht="15" customHeight="1" x14ac:dyDescent="0.35"/>
    <row r="176" spans="1:5" ht="15" customHeight="1" x14ac:dyDescent="0.35"/>
    <row r="179" spans="1:5" ht="15" customHeight="1" x14ac:dyDescent="0.35">
      <c r="A179" s="9"/>
      <c r="B179" s="9"/>
      <c r="C179" s="9"/>
      <c r="D179" s="9"/>
      <c r="E179" s="9"/>
    </row>
    <row r="180" spans="1:5" ht="15" customHeight="1" x14ac:dyDescent="0.35"/>
    <row r="181" spans="1:5" ht="15" customHeight="1" x14ac:dyDescent="0.35"/>
    <row r="182" spans="1:5" ht="15" customHeight="1" x14ac:dyDescent="0.35"/>
    <row r="183" spans="1:5" ht="15" customHeight="1" x14ac:dyDescent="0.35"/>
    <row r="184" spans="1:5" ht="15" customHeight="1" x14ac:dyDescent="0.35"/>
    <row r="185" spans="1:5" ht="15" customHeight="1" x14ac:dyDescent="0.35"/>
    <row r="186" spans="1:5" ht="15" customHeight="1" x14ac:dyDescent="0.35"/>
  </sheetData>
  <mergeCells count="7">
    <mergeCell ref="A171:E171"/>
    <mergeCell ref="A179:E179"/>
    <mergeCell ref="A123:F123"/>
    <mergeCell ref="A124:E124"/>
    <mergeCell ref="A132:E132"/>
    <mergeCell ref="A139:E139"/>
    <mergeCell ref="A161:E16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tabSelected="1" topLeftCell="A25" zoomScale="70" zoomScaleNormal="70" workbookViewId="0">
      <selection activeCell="F49" sqref="F49"/>
    </sheetView>
  </sheetViews>
  <sheetFormatPr defaultColWidth="8.7265625" defaultRowHeight="14.5" x14ac:dyDescent="0.35"/>
  <cols>
    <col min="1" max="1" width="35" customWidth="1"/>
    <col min="2" max="2" width="12" customWidth="1"/>
    <col min="3" max="4" width="18" customWidth="1"/>
    <col min="5" max="5" width="25" customWidth="1"/>
  </cols>
  <sheetData>
    <row r="1" spans="1:6" ht="27.75" customHeight="1" x14ac:dyDescent="0.35">
      <c r="A1" s="11" t="s">
        <v>444</v>
      </c>
      <c r="B1" s="11"/>
      <c r="C1" s="11"/>
      <c r="D1" s="11"/>
      <c r="E1" s="11"/>
      <c r="F1" s="11"/>
    </row>
    <row r="2" spans="1:6" ht="27.75" customHeight="1" x14ac:dyDescent="0.35">
      <c r="A2" s="12" t="s">
        <v>445</v>
      </c>
      <c r="B2" s="12"/>
      <c r="C2" s="12"/>
      <c r="D2" s="12"/>
      <c r="E2" s="12"/>
      <c r="F2" s="12"/>
    </row>
    <row r="4" spans="1:6" ht="21.75" customHeight="1" x14ac:dyDescent="0.35">
      <c r="A4" s="10" t="s">
        <v>2</v>
      </c>
      <c r="B4" s="10"/>
      <c r="C4" s="10"/>
      <c r="D4" s="10"/>
      <c r="E4" s="10"/>
    </row>
    <row r="5" spans="1:6" ht="19.5" customHeight="1" x14ac:dyDescent="0.35">
      <c r="A5" s="2" t="s">
        <v>446</v>
      </c>
      <c r="B5" s="2" t="s">
        <v>447</v>
      </c>
      <c r="C5" s="2" t="s">
        <v>448</v>
      </c>
      <c r="D5" s="2" t="s">
        <v>449</v>
      </c>
      <c r="E5" s="2" t="s">
        <v>450</v>
      </c>
    </row>
    <row r="6" spans="1:6" ht="18" customHeight="1" x14ac:dyDescent="0.35">
      <c r="A6" s="3" t="s">
        <v>177</v>
      </c>
      <c r="B6" s="4">
        <f>COUNTIF(Processed_Data!C2:C121,"*Camtel*")</f>
        <v>18</v>
      </c>
      <c r="C6" s="4">
        <f>B9</f>
        <v>169</v>
      </c>
      <c r="D6" s="5">
        <f>IFERROR(B6/B9*100,0)</f>
        <v>10.650887573964498</v>
      </c>
      <c r="E6" s="6">
        <f>B6/B9*100</f>
        <v>10.650887573964498</v>
      </c>
    </row>
    <row r="7" spans="1:6" ht="18" customHeight="1" x14ac:dyDescent="0.35">
      <c r="A7" s="3" t="s">
        <v>42</v>
      </c>
      <c r="B7" s="4">
        <f>COUNTIF(Processed_Data!C2:C121,"*MTN*")</f>
        <v>104</v>
      </c>
      <c r="C7" s="4">
        <f>B9</f>
        <v>169</v>
      </c>
      <c r="D7" s="5">
        <f>IFERROR(B7/B9*100,0)</f>
        <v>61.53846153846154</v>
      </c>
      <c r="E7" s="6">
        <f>B7/B9*100</f>
        <v>61.53846153846154</v>
      </c>
    </row>
    <row r="8" spans="1:6" ht="18" customHeight="1" x14ac:dyDescent="0.35">
      <c r="A8" s="3" t="s">
        <v>25</v>
      </c>
      <c r="B8" s="4">
        <f>COUNTIF(Processed_Data!C2:C121,"*Orange*")</f>
        <v>47</v>
      </c>
      <c r="C8" s="4">
        <f>B9</f>
        <v>169</v>
      </c>
      <c r="D8" s="5">
        <f>IFERROR(B8/B9*100,0)</f>
        <v>27.810650887573964</v>
      </c>
      <c r="E8" s="6">
        <f>B8/B9*100</f>
        <v>27.810650887573964</v>
      </c>
    </row>
    <row r="9" spans="1:6" ht="18" customHeight="1" x14ac:dyDescent="0.35">
      <c r="A9" s="7" t="s">
        <v>448</v>
      </c>
      <c r="B9" s="8">
        <f>SUM(B6:B8)</f>
        <v>169</v>
      </c>
    </row>
    <row r="12" spans="1:6" ht="21.75" customHeight="1" x14ac:dyDescent="0.35">
      <c r="A12" s="10" t="s">
        <v>4</v>
      </c>
      <c r="B12" s="10"/>
      <c r="C12" s="10"/>
      <c r="D12" s="10"/>
      <c r="E12" s="10"/>
    </row>
    <row r="13" spans="1:6" ht="19.5" customHeight="1" x14ac:dyDescent="0.35">
      <c r="A13" s="2" t="s">
        <v>446</v>
      </c>
      <c r="B13" s="2" t="s">
        <v>447</v>
      </c>
      <c r="C13" s="2" t="s">
        <v>448</v>
      </c>
      <c r="D13" s="2" t="s">
        <v>449</v>
      </c>
      <c r="E13" s="2" t="s">
        <v>450</v>
      </c>
    </row>
    <row r="14" spans="1:6" ht="18" customHeight="1" x14ac:dyDescent="0.35">
      <c r="A14" s="3" t="s">
        <v>27</v>
      </c>
      <c r="B14" s="4">
        <f>COUNTIF(Processed_Data!E2:E121,"*Android*")</f>
        <v>95</v>
      </c>
      <c r="C14" s="4">
        <f>B16</f>
        <v>128</v>
      </c>
      <c r="D14" s="5">
        <f>IFERROR(B14/B16*100,0)</f>
        <v>74.21875</v>
      </c>
      <c r="E14" s="6">
        <f>B14/B16*100</f>
        <v>74.21875</v>
      </c>
    </row>
    <row r="15" spans="1:6" ht="18" customHeight="1" x14ac:dyDescent="0.35">
      <c r="A15" s="3" t="s">
        <v>50</v>
      </c>
      <c r="B15" s="4">
        <f>COUNTIF(Processed_Data!E2:E121,"*iPhone*")</f>
        <v>33</v>
      </c>
      <c r="C15" s="4">
        <f>B16</f>
        <v>128</v>
      </c>
      <c r="D15" s="5">
        <f>IFERROR(B15/B16*100,0)</f>
        <v>25.78125</v>
      </c>
      <c r="E15" s="6">
        <f>B15/B16*100</f>
        <v>25.78125</v>
      </c>
    </row>
    <row r="16" spans="1:6" ht="18" customHeight="1" x14ac:dyDescent="0.35">
      <c r="A16" s="7" t="s">
        <v>448</v>
      </c>
      <c r="B16" s="8">
        <f>SUM(B14:B15)</f>
        <v>128</v>
      </c>
    </row>
    <row r="19" spans="1:5" ht="21.75" customHeight="1" x14ac:dyDescent="0.35">
      <c r="A19" s="10" t="s">
        <v>7</v>
      </c>
      <c r="B19" s="10"/>
      <c r="C19" s="10"/>
      <c r="D19" s="10"/>
      <c r="E19" s="10"/>
    </row>
    <row r="20" spans="1:5" ht="19.5" customHeight="1" x14ac:dyDescent="0.35">
      <c r="A20" s="2" t="s">
        <v>446</v>
      </c>
      <c r="B20" s="2" t="s">
        <v>447</v>
      </c>
      <c r="C20" s="2" t="s">
        <v>448</v>
      </c>
      <c r="D20" s="2" t="s">
        <v>449</v>
      </c>
      <c r="E20" s="2" t="s">
        <v>450</v>
      </c>
    </row>
    <row r="21" spans="1:5" ht="18" customHeight="1" x14ac:dyDescent="0.35">
      <c r="A21" s="3" t="s">
        <v>334</v>
      </c>
      <c r="B21" s="4">
        <f>COUNTIF(Processed_Data!H2:H121,"*Browsing*")</f>
        <v>57</v>
      </c>
      <c r="C21" s="4">
        <f>B38</f>
        <v>370</v>
      </c>
      <c r="D21" s="5">
        <f>IFERROR(B21/B38*100,0)</f>
        <v>15.405405405405407</v>
      </c>
      <c r="E21" s="6">
        <f>B21/B38*100</f>
        <v>15.405405405405407</v>
      </c>
    </row>
    <row r="22" spans="1:5" ht="18" customHeight="1" x14ac:dyDescent="0.35">
      <c r="A22" s="3" t="s">
        <v>451</v>
      </c>
      <c r="B22" s="4">
        <f>COUNTIF(Processed_Data!H2:H121,"*Business*")</f>
        <v>1</v>
      </c>
      <c r="C22" s="4">
        <f>B38</f>
        <v>370</v>
      </c>
      <c r="D22" s="5">
        <f>IFERROR(B22/B38*100,0)</f>
        <v>0.27027027027027029</v>
      </c>
      <c r="E22" s="6">
        <f>B22/B38*100</f>
        <v>0.27027027027027029</v>
      </c>
    </row>
    <row r="23" spans="1:5" ht="18" customHeight="1" x14ac:dyDescent="0.35">
      <c r="A23" s="3" t="s">
        <v>80</v>
      </c>
      <c r="B23" s="4">
        <f>COUNTIF(Processed_Data!H2:H121,"*Classified*")</f>
        <v>1</v>
      </c>
      <c r="C23" s="4">
        <f>B38</f>
        <v>370</v>
      </c>
      <c r="D23" s="5">
        <f>IFERROR(B23/B38*100,0)</f>
        <v>0.27027027027027029</v>
      </c>
      <c r="E23" s="6">
        <f>B23/B38*100</f>
        <v>0.27027027027027029</v>
      </c>
    </row>
    <row r="24" spans="1:5" ht="18" customHeight="1" x14ac:dyDescent="0.35">
      <c r="A24" s="3" t="s">
        <v>402</v>
      </c>
      <c r="B24" s="4">
        <f>COUNTIF(Processed_Data!H2:H121,"*Developing*")</f>
        <v>1</v>
      </c>
      <c r="C24" s="4">
        <f>B38</f>
        <v>370</v>
      </c>
      <c r="D24" s="5">
        <f>IFERROR(B24/B38*100,0)</f>
        <v>0.27027027027027029</v>
      </c>
      <c r="E24" s="6">
        <f>B24/B38*100</f>
        <v>0.27027027027027029</v>
      </c>
    </row>
    <row r="25" spans="1:5" ht="18" customHeight="1" x14ac:dyDescent="0.35">
      <c r="A25" s="3" t="s">
        <v>452</v>
      </c>
      <c r="B25" s="4">
        <f>COUNTIF(Processed_Data!H2:H121,"*Do surveys to help improve network*")</f>
        <v>1</v>
      </c>
      <c r="C25" s="4">
        <f>B38</f>
        <v>370</v>
      </c>
      <c r="D25" s="5">
        <f>IFERROR(B25/B38*100,0)</f>
        <v>0.27027027027027029</v>
      </c>
      <c r="E25" s="6">
        <f>B25/B38*100</f>
        <v>0.27027027027027029</v>
      </c>
    </row>
    <row r="26" spans="1:5" ht="18" customHeight="1" x14ac:dyDescent="0.35">
      <c r="A26" s="3" t="s">
        <v>453</v>
      </c>
      <c r="B26" s="4">
        <f>COUNTIF(Processed_Data!H2:H121,"*Gaming*")</f>
        <v>19</v>
      </c>
      <c r="C26" s="4">
        <f>B38</f>
        <v>370</v>
      </c>
      <c r="D26" s="5">
        <f>IFERROR(B26/B38*100,0)</f>
        <v>5.1351351351351351</v>
      </c>
      <c r="E26" s="6">
        <f>B26/B38*100</f>
        <v>5.1351351351351351</v>
      </c>
    </row>
    <row r="27" spans="1:5" ht="18" customHeight="1" x14ac:dyDescent="0.35">
      <c r="A27" s="3" t="s">
        <v>454</v>
      </c>
      <c r="B27" s="4">
        <f>COUNTIF(Processed_Data!H2:H121,"*I mostly used wifi and not mobile data*")</f>
        <v>1</v>
      </c>
      <c r="C27" s="4">
        <f>B38</f>
        <v>370</v>
      </c>
      <c r="D27" s="5">
        <f>IFERROR(B27/B38*100,0)</f>
        <v>0.27027027027027029</v>
      </c>
      <c r="E27" s="6">
        <f>B27/B38*100</f>
        <v>0.27027027027027029</v>
      </c>
    </row>
    <row r="28" spans="1:5" ht="18" customHeight="1" x14ac:dyDescent="0.35">
      <c r="A28" s="3" t="s">
        <v>403</v>
      </c>
      <c r="B28" s="4">
        <f>COUNTIF(Processed_Data!H2:H121,"*Messaging*")</f>
        <v>80</v>
      </c>
      <c r="C28" s="4">
        <f>B38</f>
        <v>370</v>
      </c>
      <c r="D28" s="5">
        <f>IFERROR(B28/B38*100,0)</f>
        <v>21.621621621621621</v>
      </c>
      <c r="E28" s="6">
        <f>B28/B38*100</f>
        <v>21.621621621621621</v>
      </c>
    </row>
    <row r="29" spans="1:5" ht="18" customHeight="1" x14ac:dyDescent="0.35">
      <c r="A29" s="3" t="s">
        <v>407</v>
      </c>
      <c r="B29" s="4">
        <f>COUNTIF(Processed_Data!H2:H121,"*Online classes/work*")</f>
        <v>70</v>
      </c>
      <c r="C29" s="4">
        <f>B38</f>
        <v>370</v>
      </c>
      <c r="D29" s="5">
        <f>IFERROR(B29/B38*100,0)</f>
        <v>18.918918918918919</v>
      </c>
      <c r="E29" s="6">
        <f>B29/B38*100</f>
        <v>18.918918918918919</v>
      </c>
    </row>
    <row r="30" spans="1:5" ht="18" customHeight="1" x14ac:dyDescent="0.35">
      <c r="A30" s="3" t="s">
        <v>455</v>
      </c>
      <c r="B30" s="4">
        <f>COUNTIF(Processed_Data!H2:H121,"*Programming*")</f>
        <v>1</v>
      </c>
      <c r="C30" s="4">
        <f>B38</f>
        <v>370</v>
      </c>
      <c r="D30" s="5">
        <f>IFERROR(B30/B38*100,0)</f>
        <v>0.27027027027027029</v>
      </c>
      <c r="E30" s="6">
        <f>B30/B38*100</f>
        <v>0.27027027027027029</v>
      </c>
    </row>
    <row r="31" spans="1:5" ht="18" customHeight="1" x14ac:dyDescent="0.35">
      <c r="A31" s="3" t="s">
        <v>456</v>
      </c>
      <c r="B31" s="4">
        <f>COUNTIF(Processed_Data!H2:H121,"*Research*")</f>
        <v>2</v>
      </c>
      <c r="C31" s="4">
        <f>B38</f>
        <v>370</v>
      </c>
      <c r="D31" s="5">
        <f>IFERROR(B31/B38*100,0)</f>
        <v>0.54054054054054057</v>
      </c>
      <c r="E31" s="6">
        <f>B31/B38*100</f>
        <v>0.54054054054054057</v>
      </c>
    </row>
    <row r="32" spans="1:5" ht="18" customHeight="1" x14ac:dyDescent="0.35">
      <c r="A32" s="3" t="s">
        <v>457</v>
      </c>
      <c r="B32" s="4">
        <f>COUNTIF(Processed_Data!H2:H121,"*Research and studies*")</f>
        <v>1</v>
      </c>
      <c r="C32" s="4">
        <f>B38</f>
        <v>370</v>
      </c>
      <c r="D32" s="5">
        <f>IFERROR(B32/B38*100,0)</f>
        <v>0.27027027027027029</v>
      </c>
      <c r="E32" s="6">
        <f>B32/B38*100</f>
        <v>0.27027027027027029</v>
      </c>
    </row>
    <row r="33" spans="1:5" ht="18" customHeight="1" x14ac:dyDescent="0.35">
      <c r="A33" s="3" t="s">
        <v>345</v>
      </c>
      <c r="B33" s="4">
        <f>COUNTIF(Processed_Data!H2:H121,"*Social media*")</f>
        <v>89</v>
      </c>
      <c r="C33" s="4">
        <f>B38</f>
        <v>370</v>
      </c>
      <c r="D33" s="5">
        <f>IFERROR(B33/B38*100,0)</f>
        <v>24.054054054054056</v>
      </c>
      <c r="E33" s="6">
        <f>B33/B38*100</f>
        <v>24.054054054054056</v>
      </c>
    </row>
    <row r="34" spans="1:5" ht="18" customHeight="1" x14ac:dyDescent="0.35">
      <c r="A34" s="3" t="s">
        <v>458</v>
      </c>
      <c r="B34" s="4">
        <f>COUNTIF(Processed_Data!H2:H121,"*Software development*")</f>
        <v>1</v>
      </c>
      <c r="C34" s="4">
        <f>B38</f>
        <v>370</v>
      </c>
      <c r="D34" s="5">
        <f>IFERROR(B34/B38*100,0)</f>
        <v>0.27027027027027029</v>
      </c>
      <c r="E34" s="6">
        <f>B34/B38*100</f>
        <v>0.27027027027027029</v>
      </c>
    </row>
    <row r="35" spans="1:5" ht="18" customHeight="1" x14ac:dyDescent="0.35">
      <c r="A35" s="3" t="s">
        <v>302</v>
      </c>
      <c r="B35" s="4">
        <f>COUNTIF(Processed_Data!H2:H121,"*Studies*")</f>
        <v>2</v>
      </c>
      <c r="C35" s="4">
        <f>B38</f>
        <v>370</v>
      </c>
      <c r="D35" s="5">
        <f>IFERROR(B35/B38*100,0)</f>
        <v>0.54054054054054057</v>
      </c>
      <c r="E35" s="6">
        <f>B35/B38*100</f>
        <v>0.54054054054054057</v>
      </c>
    </row>
    <row r="36" spans="1:5" ht="18" customHeight="1" x14ac:dyDescent="0.35">
      <c r="A36" s="3" t="s">
        <v>418</v>
      </c>
      <c r="B36" s="4">
        <f>COUNTIF(Processed_Data!H2:H121,"*Video streaming*")</f>
        <v>42</v>
      </c>
      <c r="C36" s="4">
        <f>B38</f>
        <v>370</v>
      </c>
      <c r="D36" s="5">
        <f>IFERROR(B36/B38*100,0)</f>
        <v>11.351351351351353</v>
      </c>
      <c r="E36" s="6">
        <f>B36/B38*100</f>
        <v>11.351351351351353</v>
      </c>
    </row>
    <row r="37" spans="1:5" ht="18" customHeight="1" x14ac:dyDescent="0.35">
      <c r="A37" s="3" t="s">
        <v>459</v>
      </c>
      <c r="B37" s="4">
        <f>COUNTIF(Processed_Data!H2:H121,"*and i used for all online activities*")</f>
        <v>1</v>
      </c>
      <c r="C37" s="4">
        <f>B38</f>
        <v>370</v>
      </c>
      <c r="D37" s="5">
        <f>IFERROR(B37/B38*100,0)</f>
        <v>0.27027027027027029</v>
      </c>
      <c r="E37" s="6">
        <f>B37/B38*100</f>
        <v>0.27027027027027029</v>
      </c>
    </row>
    <row r="38" spans="1:5" ht="18" customHeight="1" x14ac:dyDescent="0.35">
      <c r="A38" s="7" t="s">
        <v>448</v>
      </c>
      <c r="B38" s="8">
        <f>SUM(B21:B37)</f>
        <v>370</v>
      </c>
    </row>
    <row r="41" spans="1:5" ht="21.75" customHeight="1" x14ac:dyDescent="0.35">
      <c r="A41" s="10" t="s">
        <v>12</v>
      </c>
      <c r="B41" s="10"/>
      <c r="C41" s="10"/>
      <c r="D41" s="10"/>
      <c r="E41" s="10"/>
    </row>
    <row r="42" spans="1:5" ht="19.5" customHeight="1" x14ac:dyDescent="0.35">
      <c r="A42" s="2" t="s">
        <v>446</v>
      </c>
      <c r="B42" s="2" t="s">
        <v>447</v>
      </c>
      <c r="C42" s="2" t="s">
        <v>448</v>
      </c>
      <c r="D42" s="2" t="s">
        <v>449</v>
      </c>
      <c r="E42" s="2" t="s">
        <v>450</v>
      </c>
    </row>
    <row r="43" spans="1:5" ht="18" customHeight="1" x14ac:dyDescent="0.35">
      <c r="A43" s="3" t="s">
        <v>405</v>
      </c>
      <c r="B43" s="4">
        <f>COUNTIF(Processed_Data!M2:M121,"*Call drops*")</f>
        <v>18</v>
      </c>
      <c r="C43" s="4">
        <f>B48</f>
        <v>237</v>
      </c>
      <c r="D43" s="5">
        <f>IFERROR(B43/B48*100,0)</f>
        <v>7.59493670886076</v>
      </c>
      <c r="E43" s="6">
        <f>B43/B48*100</f>
        <v>7.59493670886076</v>
      </c>
    </row>
    <row r="44" spans="1:5" ht="18" customHeight="1" x14ac:dyDescent="0.35">
      <c r="A44" s="3" t="s">
        <v>425</v>
      </c>
      <c r="B44" s="4">
        <f>COUNTIF(Processed_Data!M2:M121,"*Network outages*")</f>
        <v>41</v>
      </c>
      <c r="C44" s="4">
        <f>B48</f>
        <v>237</v>
      </c>
      <c r="D44" s="5">
        <f>IFERROR(B44/B48*100,0)</f>
        <v>17.299578059071731</v>
      </c>
      <c r="E44" s="6">
        <f>B44/B48*100</f>
        <v>17.299578059071731</v>
      </c>
    </row>
    <row r="45" spans="1:5" ht="18" customHeight="1" x14ac:dyDescent="0.35">
      <c r="A45" s="3" t="s">
        <v>379</v>
      </c>
      <c r="B45" s="4">
        <f>COUNTIF(Processed_Data!M2:M121,"*No signal*")</f>
        <v>34</v>
      </c>
      <c r="C45" s="4">
        <f>B48</f>
        <v>237</v>
      </c>
      <c r="D45" s="5">
        <f>IFERROR(B45/B48*100,0)</f>
        <v>14.345991561181433</v>
      </c>
      <c r="E45" s="6">
        <f>B45/B48*100</f>
        <v>14.345991561181433</v>
      </c>
    </row>
    <row r="46" spans="1:5" ht="18" customHeight="1" x14ac:dyDescent="0.35">
      <c r="A46" s="3" t="s">
        <v>395</v>
      </c>
      <c r="B46" s="4">
        <f>COUNTIF(Processed_Data!M2:M121,"*Poor call quality*")</f>
        <v>45</v>
      </c>
      <c r="C46" s="4">
        <f>B48</f>
        <v>237</v>
      </c>
      <c r="D46" s="5">
        <f>IFERROR(B46/B48*100,0)</f>
        <v>18.9873417721519</v>
      </c>
      <c r="E46" s="6">
        <f>B46/B48*100</f>
        <v>18.9873417721519</v>
      </c>
    </row>
    <row r="47" spans="1:5" ht="18" customHeight="1" x14ac:dyDescent="0.35">
      <c r="A47" s="3" t="s">
        <v>337</v>
      </c>
      <c r="B47" s="4">
        <f>COUNTIF(Processed_Data!M2:M121,"*Slow internet*")</f>
        <v>99</v>
      </c>
      <c r="C47" s="4">
        <f>B48</f>
        <v>237</v>
      </c>
      <c r="D47" s="5">
        <f>IFERROR(B47/B48*100,0)</f>
        <v>41.77215189873418</v>
      </c>
      <c r="E47" s="6">
        <f>B47/B48*100</f>
        <v>41.77215189873418</v>
      </c>
    </row>
    <row r="48" spans="1:5" ht="18" customHeight="1" x14ac:dyDescent="0.35">
      <c r="A48" s="7" t="s">
        <v>448</v>
      </c>
      <c r="B48" s="8">
        <f>SUM(B43:B47)</f>
        <v>237</v>
      </c>
    </row>
    <row r="51" spans="1:5" ht="21.75" customHeight="1" x14ac:dyDescent="0.35">
      <c r="A51" s="10" t="s">
        <v>15</v>
      </c>
      <c r="B51" s="10"/>
      <c r="C51" s="10"/>
      <c r="D51" s="10"/>
      <c r="E51" s="10"/>
    </row>
    <row r="52" spans="1:5" ht="19.5" customHeight="1" x14ac:dyDescent="0.35">
      <c r="A52" s="2" t="s">
        <v>446</v>
      </c>
      <c r="B52" s="2" t="s">
        <v>447</v>
      </c>
      <c r="C52" s="2" t="s">
        <v>448</v>
      </c>
      <c r="D52" s="2" t="s">
        <v>449</v>
      </c>
      <c r="E52" s="2" t="s">
        <v>450</v>
      </c>
    </row>
    <row r="53" spans="1:5" ht="18" customHeight="1" x14ac:dyDescent="0.35">
      <c r="A53" s="3" t="s">
        <v>339</v>
      </c>
      <c r="B53" s="4">
        <f>COUNTIF(Processed_Data!P2:P121,"*Everywhere*")</f>
        <v>72</v>
      </c>
      <c r="C53" s="4">
        <f>B56</f>
        <v>141</v>
      </c>
      <c r="D53" s="5">
        <f>IFERROR(B53/B56*100,0)</f>
        <v>51.063829787234042</v>
      </c>
      <c r="E53" s="6">
        <f>B53/B56*100</f>
        <v>51.063829787234042</v>
      </c>
    </row>
    <row r="54" spans="1:5" ht="18" customHeight="1" x14ac:dyDescent="0.35">
      <c r="A54" s="3" t="s">
        <v>406</v>
      </c>
      <c r="B54" s="4">
        <f>COUNTIF(Processed_Data!P2:P121,"*On the road*")</f>
        <v>18</v>
      </c>
      <c r="C54" s="4">
        <f>B56</f>
        <v>141</v>
      </c>
      <c r="D54" s="5">
        <f>IFERROR(B54/B56*100,0)</f>
        <v>12.76595744680851</v>
      </c>
      <c r="E54" s="6">
        <f>B54/B56*100</f>
        <v>12.76595744680851</v>
      </c>
    </row>
    <row r="55" spans="1:5" ht="18" customHeight="1" x14ac:dyDescent="0.35">
      <c r="A55" s="3" t="s">
        <v>360</v>
      </c>
      <c r="B55" s="4">
        <f>COUNTIF(Processed_Data!P2:P121,"*School/Work*")</f>
        <v>51</v>
      </c>
      <c r="C55" s="4">
        <f>B56</f>
        <v>141</v>
      </c>
      <c r="D55" s="5">
        <f>IFERROR(B55/B56*100,0)</f>
        <v>36.170212765957451</v>
      </c>
      <c r="E55" s="6">
        <f>B55/B56*100</f>
        <v>36.170212765957451</v>
      </c>
    </row>
    <row r="56" spans="1:5" ht="18" customHeight="1" x14ac:dyDescent="0.35">
      <c r="A56" s="7" t="s">
        <v>448</v>
      </c>
      <c r="B56" s="8">
        <f>SUM(B53:B55)</f>
        <v>141</v>
      </c>
    </row>
    <row r="59" spans="1:5" ht="21.75" customHeight="1" x14ac:dyDescent="0.35">
      <c r="A59" s="10" t="s">
        <v>22</v>
      </c>
      <c r="B59" s="10"/>
      <c r="C59" s="10"/>
      <c r="D59" s="10"/>
      <c r="E59" s="10"/>
    </row>
    <row r="60" spans="1:5" ht="19.5" customHeight="1" x14ac:dyDescent="0.35">
      <c r="A60" s="2" t="s">
        <v>446</v>
      </c>
      <c r="B60" s="2" t="s">
        <v>447</v>
      </c>
      <c r="C60" s="2" t="s">
        <v>448</v>
      </c>
      <c r="D60" s="2" t="s">
        <v>449</v>
      </c>
      <c r="E60" s="2" t="s">
        <v>450</v>
      </c>
    </row>
    <row r="61" spans="1:5" ht="18" customHeight="1" x14ac:dyDescent="0.35">
      <c r="A61" s="3" t="s">
        <v>420</v>
      </c>
      <c r="B61" s="4">
        <f>COUNTIF(Processed_Data!W2:W121,"*Battery usage*")</f>
        <v>44</v>
      </c>
      <c r="C61" s="4">
        <f>B66</f>
        <v>263</v>
      </c>
      <c r="D61" s="5">
        <f>IFERROR(B61/B66*100,0)</f>
        <v>16.730038022813687</v>
      </c>
      <c r="E61" s="6">
        <f>B61/B66*100</f>
        <v>16.730038022813687</v>
      </c>
    </row>
    <row r="62" spans="1:5" ht="18" customHeight="1" x14ac:dyDescent="0.35">
      <c r="A62" s="3" t="s">
        <v>404</v>
      </c>
      <c r="B62" s="4">
        <f>COUNTIF(Processed_Data!W2:W121,"*Data usage*")</f>
        <v>71</v>
      </c>
      <c r="C62" s="4">
        <f>B66</f>
        <v>263</v>
      </c>
      <c r="D62" s="5">
        <f>IFERROR(B62/B66*100,0)</f>
        <v>26.996197718631176</v>
      </c>
      <c r="E62" s="6">
        <f>B62/B66*100</f>
        <v>26.996197718631176</v>
      </c>
    </row>
    <row r="63" spans="1:5" ht="18" customHeight="1" x14ac:dyDescent="0.35">
      <c r="A63" s="3" t="s">
        <v>380</v>
      </c>
      <c r="B63" s="4">
        <f>COUNTIF(Processed_Data!W2:W121,"*None*")</f>
        <v>5</v>
      </c>
      <c r="C63" s="4">
        <f>B66</f>
        <v>263</v>
      </c>
      <c r="D63" s="5">
        <f>IFERROR(B63/B66*100,0)</f>
        <v>1.9011406844106464</v>
      </c>
      <c r="E63" s="6">
        <f>B63/B66*100</f>
        <v>1.9011406844106464</v>
      </c>
    </row>
    <row r="64" spans="1:5" ht="18" customHeight="1" x14ac:dyDescent="0.35">
      <c r="A64" s="3" t="s">
        <v>377</v>
      </c>
      <c r="B64" s="4">
        <f>COUNTIF(Processed_Data!W2:W121,"*Privacy*")</f>
        <v>78</v>
      </c>
      <c r="C64" s="4">
        <f>B66</f>
        <v>263</v>
      </c>
      <c r="D64" s="5">
        <f>IFERROR(B64/B66*100,0)</f>
        <v>29.657794676806081</v>
      </c>
      <c r="E64" s="6">
        <f>B64/B66*100</f>
        <v>29.657794676806081</v>
      </c>
    </row>
    <row r="65" spans="1:5" ht="18" customHeight="1" x14ac:dyDescent="0.35">
      <c r="A65" s="3" t="s">
        <v>390</v>
      </c>
      <c r="B65" s="4">
        <f>COUNTIF(Processed_Data!W2:W121,"*Security*")</f>
        <v>65</v>
      </c>
      <c r="C65" s="4">
        <f>B66</f>
        <v>263</v>
      </c>
      <c r="D65" s="5">
        <f>IFERROR(B65/B66*100,0)</f>
        <v>24.714828897338403</v>
      </c>
      <c r="E65" s="6">
        <f>B65/B66*100</f>
        <v>24.714828897338403</v>
      </c>
    </row>
    <row r="66" spans="1:5" ht="18" customHeight="1" x14ac:dyDescent="0.35">
      <c r="A66" s="7" t="s">
        <v>448</v>
      </c>
      <c r="B66" s="8">
        <f>SUM(B61:B65)</f>
        <v>263</v>
      </c>
    </row>
  </sheetData>
  <mergeCells count="8">
    <mergeCell ref="A41:E41"/>
    <mergeCell ref="A51:E51"/>
    <mergeCell ref="A59:E59"/>
    <mergeCell ref="A1:F1"/>
    <mergeCell ref="A2:F2"/>
    <mergeCell ref="A4:E4"/>
    <mergeCell ref="A12:E12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Clean_Data</vt:lpstr>
      <vt:lpstr>Processed_Data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Mbuh Assurance</cp:lastModifiedBy>
  <cp:revision>0</cp:revision>
  <dcterms:created xsi:type="dcterms:W3CDTF">2026-04-26T18:48:16Z</dcterms:created>
  <dcterms:modified xsi:type="dcterms:W3CDTF">2026-04-27T08:46:24Z</dcterms:modified>
  <dc:language>en-US</dc:language>
</cp:coreProperties>
</file>